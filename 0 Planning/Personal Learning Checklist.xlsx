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i val="1"/>
    </font>
  </fonts>
  <fills count="4">
    <fill>
      <patternFill/>
    </fill>
    <fill>
      <patternFill patternType="gray125"/>
    </fill>
    <fill>
      <patternFill patternType="solid">
        <fgColor rgb="001A365D"/>
      </patternFill>
    </fill>
    <fill>
      <patternFill patternType="solid">
        <fgColor rgb="002B6CB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1" fillId="3" borderId="1" applyAlignment="1" pivotButton="0" quotePrefix="0" xfId="0">
      <alignment vertical="center" wrapText="1"/>
    </xf>
    <xf numFmtId="0" fontId="1" fillId="3"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dxfs count="3">
    <dxf>
      <font>
        <b val="1"/>
        <color rgb="00990000"/>
      </font>
      <fill>
        <patternFill patternType="solid">
          <fgColor rgb="00F4CCCC"/>
        </patternFill>
      </fill>
    </dxf>
    <dxf>
      <font>
        <b val="1"/>
        <color rgb="00996600"/>
      </font>
      <fill>
        <patternFill patternType="solid">
          <fgColor rgb="00FCE5CD"/>
        </patternFill>
      </fill>
    </dxf>
    <dxf>
      <font>
        <b val="1"/>
        <color rgb="00006600"/>
      </font>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7"/>
  <sheetViews>
    <sheetView workbookViewId="0">
      <pane ySplit="1" topLeftCell="A2" activePane="bottomLeft" state="frozen"/>
      <selection pane="bottomLeft" activeCell="A1" sqref="A1"/>
    </sheetView>
  </sheetViews>
  <sheetFormatPr baseColWidth="8" defaultRowHeight="15"/>
  <cols>
    <col width="9" customWidth="1" min="1" max="1"/>
    <col width="78" customWidth="1" min="2" max="2"/>
    <col width="7" customWidth="1" min="3" max="3"/>
    <col width="12" customWidth="1" min="4" max="4"/>
    <col width="34" customWidth="1" min="5" max="5"/>
  </cols>
  <sheetData>
    <row r="1">
      <c r="A1" s="1" t="inlineStr">
        <is>
          <t>Spec</t>
        </is>
      </c>
      <c r="B1" s="1" t="inlineStr">
        <is>
          <t>I can…  (tick your confidence)</t>
        </is>
      </c>
      <c r="C1" s="1" t="inlineStr">
        <is>
          <t>RAG</t>
        </is>
      </c>
      <c r="D1" s="1" t="inlineStr">
        <is>
          <t>Date</t>
        </is>
      </c>
      <c r="E1" s="1" t="inlineStr">
        <is>
          <t>Notes / evidence</t>
        </is>
      </c>
    </row>
    <row r="2">
      <c r="A2" s="2" t="inlineStr">
        <is>
          <t>1.1.1</t>
        </is>
      </c>
      <c r="B2" s="2" t="inlineStr">
        <is>
          <t>Structure and Function of the Processor</t>
        </is>
      </c>
      <c r="C2" s="3" t="inlineStr"/>
      <c r="D2" s="2" t="inlineStr"/>
      <c r="E2" s="2" t="inlineStr"/>
    </row>
    <row r="3">
      <c r="A3" s="4" t="inlineStr"/>
      <c r="B3" s="4" t="inlineStr">
        <is>
          <t>I can describe the roles of the ALU, Control Unit and the registers PC, MAR, MDR, CIR and ACC</t>
        </is>
      </c>
      <c r="C3" s="5" t="inlineStr"/>
      <c r="D3" s="4" t="inlineStr"/>
      <c r="E3" s="4" t="inlineStr"/>
    </row>
    <row r="4">
      <c r="A4" s="4" t="inlineStr"/>
      <c r="B4" s="4" t="inlineStr">
        <is>
          <t>I can trace the fetch-decode-execute cycle, naming every register transfer and bus involved</t>
        </is>
      </c>
      <c r="C4" s="5" t="inlineStr"/>
      <c r="D4" s="4" t="inlineStr"/>
      <c r="E4" s="4" t="inlineStr"/>
    </row>
    <row r="5">
      <c r="A5" s="4" t="inlineStr"/>
      <c r="B5" s="4" t="inlineStr">
        <is>
          <t>I can explain how clock speed, cores, cache and pipelining affect CPU performance, with caveats</t>
        </is>
      </c>
      <c r="C5" s="5" t="inlineStr"/>
      <c r="D5" s="4" t="inlineStr"/>
      <c r="E5" s="4" t="inlineStr"/>
    </row>
    <row r="6">
      <c r="A6" s="4" t="inlineStr"/>
      <c r="B6" s="4" t="inlineStr">
        <is>
          <t>I can compare Von Neumann, Harvard and contemporary (modified Harvard) architectures with distinct differences</t>
        </is>
      </c>
      <c r="C6" s="5" t="inlineStr"/>
      <c r="D6" s="4" t="inlineStr"/>
      <c r="E6" s="4" t="inlineStr"/>
    </row>
    <row r="7">
      <c r="A7" s="2" t="inlineStr">
        <is>
          <t>1.1.2</t>
        </is>
      </c>
      <c r="B7" s="2" t="inlineStr">
        <is>
          <t>Types of Processor</t>
        </is>
      </c>
      <c r="C7" s="3" t="inlineStr"/>
      <c r="D7" s="2" t="inlineStr"/>
      <c r="E7" s="2" t="inlineStr"/>
    </row>
    <row r="8">
      <c r="A8" s="4" t="inlineStr"/>
      <c r="B8" s="4" t="inlineStr">
        <is>
          <t>I can give distinct differences between CISC and RISC processors and link each to a typical use</t>
        </is>
      </c>
      <c r="C8" s="5" t="inlineStr"/>
      <c r="D8" s="4" t="inlineStr"/>
      <c r="E8" s="4" t="inlineStr"/>
    </row>
    <row r="9">
      <c r="A9" s="4" t="inlineStr"/>
      <c r="B9" s="4" t="inlineStr">
        <is>
          <t>I can explain how a GPU achieves high performance and identify workloads suited to GPUs, including GPGPU uses</t>
        </is>
      </c>
      <c r="C9" s="5" t="inlineStr"/>
      <c r="D9" s="4" t="inlineStr"/>
      <c r="E9" s="4" t="inlineStr"/>
    </row>
    <row r="10">
      <c r="A10" s="4" t="inlineStr"/>
      <c r="B10" s="4" t="inlineStr">
        <is>
          <t>I can describe multicore and parallel systems and explain what limits the benefit of adding cores</t>
        </is>
      </c>
      <c r="C10" s="5" t="inlineStr"/>
      <c r="D10" s="4" t="inlineStr"/>
      <c r="E10" s="4" t="inlineStr"/>
    </row>
    <row r="11">
      <c r="A11" s="4" t="inlineStr"/>
      <c r="B11" s="4" t="inlineStr">
        <is>
          <t>I can justify a choice of processor type for a given scenario using hardware features</t>
        </is>
      </c>
      <c r="C11" s="5" t="inlineStr"/>
      <c r="D11" s="4" t="inlineStr"/>
      <c r="E11" s="4" t="inlineStr"/>
    </row>
    <row r="12">
      <c r="A12" s="2" t="inlineStr">
        <is>
          <t>1.1.3</t>
        </is>
      </c>
      <c r="B12" s="2" t="inlineStr">
        <is>
          <t>Input, Output and Storage Devices</t>
        </is>
      </c>
      <c r="C12" s="3" t="inlineStr"/>
      <c r="D12" s="2" t="inlineStr"/>
      <c r="E12" s="2" t="inlineStr"/>
    </row>
    <row r="13">
      <c r="A13" s="4" t="inlineStr"/>
      <c r="B13" s="4" t="inlineStr">
        <is>
          <t>I can justify a choice of input or output device for a given scenario, linking characteristics to requirements</t>
        </is>
      </c>
      <c r="C13" s="5" t="inlineStr"/>
      <c r="D13" s="4" t="inlineStr"/>
      <c r="E13" s="4" t="inlineStr"/>
    </row>
    <row r="14">
      <c r="A14" s="4" t="inlineStr"/>
      <c r="B14" s="4" t="inlineStr">
        <is>
          <t>I can describe how magnetic, flash and optical storage work and compare their suitability for different uses</t>
        </is>
      </c>
      <c r="C14" s="5" t="inlineStr"/>
      <c r="D14" s="4" t="inlineStr"/>
      <c r="E14" s="4" t="inlineStr"/>
    </row>
    <row r="15">
      <c r="A15" s="4" t="inlineStr"/>
      <c r="B15" s="4" t="inlineStr">
        <is>
          <t>I can explain the differences between RAM and ROM, including volatility and their contents</t>
        </is>
      </c>
      <c r="C15" s="5" t="inlineStr"/>
      <c r="D15" s="4" t="inlineStr"/>
      <c r="E15" s="4" t="inlineStr"/>
    </row>
    <row r="16">
      <c r="A16" s="4" t="inlineStr"/>
      <c r="B16" s="4" t="inlineStr">
        <is>
          <t>I can explain virtual storage, distinguishing virtual memory from virtual (cloud) storage</t>
        </is>
      </c>
      <c r="C16" s="5" t="inlineStr"/>
      <c r="D16" s="4" t="inlineStr"/>
      <c r="E16" s="4" t="inlineStr"/>
    </row>
    <row r="17">
      <c r="A17" s="2" t="inlineStr">
        <is>
          <t>1.2.1</t>
        </is>
      </c>
      <c r="B17" s="2" t="inlineStr">
        <is>
          <t>Operating Systems (part 1)</t>
        </is>
      </c>
      <c r="C17" s="3" t="inlineStr"/>
      <c r="D17" s="2" t="inlineStr"/>
      <c r="E17" s="2" t="inlineStr"/>
    </row>
    <row r="18">
      <c r="A18" s="4" t="inlineStr"/>
      <c r="B18" s="4" t="inlineStr">
        <is>
          <t>I can describe the purpose of an operating system and the resources it manages.</t>
        </is>
      </c>
      <c r="C18" s="5" t="inlineStr"/>
      <c r="D18" s="4" t="inlineStr"/>
      <c r="E18" s="4" t="inlineStr"/>
    </row>
    <row r="19">
      <c r="A19" s="4" t="inlineStr"/>
      <c r="B19" s="4" t="inlineStr">
        <is>
          <t>I can explain memory management using paging, segmentation and virtual memory, including their drawbacks.</t>
        </is>
      </c>
      <c r="C19" s="5" t="inlineStr"/>
      <c r="D19" s="4" t="inlineStr"/>
      <c r="E19" s="4" t="inlineStr"/>
    </row>
    <row r="20">
      <c r="A20" s="4" t="inlineStr"/>
      <c r="B20" s="4" t="inlineStr">
        <is>
          <t>I can describe the full sequence the OS follows when servicing an interrupt, including the role of the stack.</t>
        </is>
      </c>
      <c r="C20" s="5" t="inlineStr"/>
      <c r="D20" s="4" t="inlineStr"/>
      <c r="E20" s="4" t="inlineStr"/>
    </row>
    <row r="21">
      <c r="A21" s="4" t="inlineStr"/>
      <c r="B21" s="4" t="inlineStr">
        <is>
          <t>I can compare round robin, FIFO, shortest job first, shortest remaining time and multilevel feedback queue scheduling.</t>
        </is>
      </c>
      <c r="C21" s="5" t="inlineStr"/>
      <c r="D21" s="4" t="inlineStr"/>
      <c r="E21" s="4" t="inlineStr"/>
    </row>
    <row r="22">
      <c r="A22" s="2" t="inlineStr">
        <is>
          <t>1.2.2</t>
        </is>
      </c>
      <c r="B22" s="2" t="inlineStr">
        <is>
          <t>Applications Generation</t>
        </is>
      </c>
      <c r="C22" s="3" t="inlineStr"/>
      <c r="D22" s="2" t="inlineStr"/>
      <c r="E22" s="2" t="inlineStr"/>
    </row>
    <row r="23">
      <c r="A23" s="4" t="inlineStr"/>
      <c r="B23" s="4" t="inlineStr">
        <is>
          <t>I can distinguish applications, systems software and utilities, and compare open and closed source software.</t>
        </is>
      </c>
      <c r="C23" s="5" t="inlineStr"/>
      <c r="D23" s="4" t="inlineStr"/>
      <c r="E23" s="4" t="inlineStr"/>
    </row>
    <row r="24">
      <c r="A24" s="4" t="inlineStr"/>
      <c r="B24" s="4" t="inlineStr">
        <is>
          <t>I can compare assemblers, compilers and interpreters and choose the right translator for a scenario.</t>
        </is>
      </c>
      <c r="C24" s="5" t="inlineStr"/>
      <c r="D24" s="4" t="inlineStr"/>
      <c r="E24" s="4" t="inlineStr"/>
    </row>
    <row r="25">
      <c r="A25" s="4" t="inlineStr"/>
      <c r="B25" s="4" t="inlineStr">
        <is>
          <t>I can describe the four stages of compilation, in order, with what each produces.</t>
        </is>
      </c>
      <c r="C25" s="5" t="inlineStr"/>
      <c r="D25" s="4" t="inlineStr"/>
      <c r="E25" s="4" t="inlineStr"/>
    </row>
    <row r="26">
      <c r="A26" s="4" t="inlineStr"/>
      <c r="B26" s="4" t="inlineStr">
        <is>
          <t>I can explain the roles of libraries, linkers and loaders, including static versus dynamic linking.</t>
        </is>
      </c>
      <c r="C26" s="5" t="inlineStr"/>
      <c r="D26" s="4" t="inlineStr"/>
      <c r="E26" s="4" t="inlineStr"/>
    </row>
    <row r="27">
      <c r="A27" s="2" t="inlineStr">
        <is>
          <t>1.2.3</t>
        </is>
      </c>
      <c r="B27" s="2" t="inlineStr">
        <is>
          <t>Software Development</t>
        </is>
      </c>
      <c r="C27" s="3" t="inlineStr"/>
      <c r="D27" s="2" t="inlineStr"/>
      <c r="E27" s="2" t="inlineStr"/>
    </row>
    <row r="28">
      <c r="A28" s="4" t="inlineStr"/>
      <c r="B28" s="4" t="inlineStr">
        <is>
          <t>Describe the stages of the software development lifecycle and the outputs of each stage.</t>
        </is>
      </c>
      <c r="C28" s="5" t="inlineStr"/>
      <c r="D28" s="4" t="inlineStr"/>
      <c r="E28" s="4" t="inlineStr"/>
    </row>
    <row r="29">
      <c r="A29" s="4" t="inlineStr"/>
      <c r="B29" s="4" t="inlineStr">
        <is>
          <t>Compare the merits and drawbacks of Waterfall, Agile, Extreme Programming, Spiral and RAD.</t>
        </is>
      </c>
      <c r="C29" s="5" t="inlineStr"/>
      <c r="D29" s="4" t="inlineStr"/>
      <c r="E29" s="4" t="inlineStr"/>
    </row>
    <row r="30">
      <c r="A30" s="4" t="inlineStr"/>
      <c r="B30" s="4" t="inlineStr">
        <is>
          <t>Select and justify a methodology for a given scenario using explicit scenario clues.</t>
        </is>
      </c>
      <c r="C30" s="5" t="inlineStr"/>
      <c r="D30" s="4" t="inlineStr"/>
      <c r="E30" s="4" t="inlineStr"/>
    </row>
    <row r="31">
      <c r="A31" s="4" t="inlineStr"/>
      <c r="B31" s="4" t="inlineStr">
        <is>
          <t>Write and follow algorithms, and design test data using normal, boundary and erroneous values.</t>
        </is>
      </c>
      <c r="C31" s="5" t="inlineStr"/>
      <c r="D31" s="4" t="inlineStr"/>
      <c r="E31" s="4" t="inlineStr"/>
    </row>
    <row r="32">
      <c r="A32" s="2" t="inlineStr">
        <is>
          <t>1.2.4</t>
        </is>
      </c>
      <c r="B32" s="2" t="inlineStr">
        <is>
          <t>Types of Programming Language</t>
        </is>
      </c>
      <c r="C32" s="3" t="inlineStr"/>
      <c r="D32" s="2" t="inlineStr"/>
      <c r="E32" s="2" t="inlineStr"/>
    </row>
    <row r="33">
      <c r="A33" s="4" t="inlineStr"/>
      <c r="B33" s="4" t="inlineStr">
        <is>
          <t>Explain the need for programming paradigms and characterise procedural and object-oriented programming.</t>
        </is>
      </c>
      <c r="C33" s="5" t="inlineStr"/>
      <c r="D33" s="4" t="inlineStr"/>
      <c r="E33" s="4" t="inlineStr"/>
    </row>
    <row r="34">
      <c r="A34" s="4" t="inlineStr"/>
      <c r="B34" s="4" t="inlineStr">
        <is>
          <t>Write and trace short Little Man Computer programs using the standard instruction set.</t>
        </is>
      </c>
      <c r="C34" s="5" t="inlineStr"/>
      <c r="D34" s="4" t="inlineStr"/>
      <c r="E34" s="4" t="inlineStr"/>
    </row>
    <row r="35">
      <c r="A35" s="4" t="inlineStr"/>
      <c r="B35" s="4" t="inlineStr">
        <is>
          <t>Determine the value used by an instruction under immediate, direct, indirect and indexed addressing.</t>
        </is>
      </c>
      <c r="C35" s="5" t="inlineStr"/>
      <c r="D35" s="4" t="inlineStr"/>
      <c r="E35" s="4" t="inlineStr"/>
    </row>
    <row r="36">
      <c r="A36" s="4" t="inlineStr"/>
      <c r="B36" s="4" t="inlineStr">
        <is>
          <t>Define and apply class, object, method, attribute, inheritance, encapsulation and polymorphism.</t>
        </is>
      </c>
      <c r="C36" s="5" t="inlineStr"/>
      <c r="D36" s="4" t="inlineStr"/>
      <c r="E36" s="4" t="inlineStr"/>
    </row>
    <row r="37">
      <c r="A37" s="2" t="inlineStr">
        <is>
          <t>1.3.1</t>
        </is>
      </c>
      <c r="B37" s="2" t="inlineStr">
        <is>
          <t>Compression, Encryption and Hashing</t>
        </is>
      </c>
      <c r="C37" s="3" t="inlineStr"/>
      <c r="D37" s="2" t="inlineStr"/>
      <c r="E37" s="2" t="inlineStr"/>
    </row>
    <row r="38">
      <c r="A38" s="4" t="inlineStr"/>
      <c r="B38" s="4" t="inlineStr">
        <is>
          <t>Explain why files are compressed and compare lossy with lossless compression for given scenarios.</t>
        </is>
      </c>
      <c r="C38" s="5" t="inlineStr"/>
      <c r="D38" s="4" t="inlineStr"/>
      <c r="E38" s="4" t="inlineStr"/>
    </row>
    <row r="39">
      <c r="A39" s="4" t="inlineStr"/>
      <c r="B39" s="4" t="inlineStr">
        <is>
          <t>Encode and decode data using run length encoding and dictionary coding, and evaluate the saving.</t>
        </is>
      </c>
      <c r="C39" s="5" t="inlineStr"/>
      <c r="D39" s="4" t="inlineStr"/>
      <c r="E39" s="4" t="inlineStr"/>
    </row>
    <row r="40">
      <c r="A40" s="4" t="inlineStr"/>
      <c r="B40" s="4" t="inlineStr">
        <is>
          <t>Compare symmetric and asymmetric encryption, including keys, speed and the key distribution problem.</t>
        </is>
      </c>
      <c r="C40" s="5" t="inlineStr"/>
      <c r="D40" s="4" t="inlineStr"/>
      <c r="E40" s="4" t="inlineStr"/>
    </row>
    <row r="41">
      <c r="A41" s="4" t="inlineStr"/>
      <c r="B41" s="4" t="inlineStr">
        <is>
          <t>Describe the properties of hashing and justify its use for passwords and fast lookup.</t>
        </is>
      </c>
      <c r="C41" s="5" t="inlineStr"/>
      <c r="D41" s="4" t="inlineStr"/>
      <c r="E41" s="4" t="inlineStr"/>
    </row>
    <row r="42">
      <c r="A42" s="2" t="inlineStr">
        <is>
          <t>1.3.2</t>
        </is>
      </c>
      <c r="B42" s="2" t="inlineStr">
        <is>
          <t>Databases</t>
        </is>
      </c>
      <c r="C42" s="3" t="inlineStr"/>
      <c r="D42" s="2" t="inlineStr"/>
      <c r="E42" s="2" t="inlineStr"/>
    </row>
    <row r="43">
      <c r="A43" s="4" t="inlineStr"/>
      <c r="B43" s="4" t="inlineStr">
        <is>
          <t>I can define entity, attribute and record, and compare flat file and relational databases.</t>
        </is>
      </c>
      <c r="C43" s="5" t="inlineStr"/>
      <c r="D43" s="4" t="inlineStr"/>
      <c r="E43" s="4" t="inlineStr"/>
    </row>
    <row r="44">
      <c r="A44" s="4" t="inlineStr"/>
      <c r="B44" s="4" t="inlineStr">
        <is>
          <t>I can identify primary, foreign, composite and secondary keys and draw ER diagrams, resolving many-to-many relationships.</t>
        </is>
      </c>
      <c r="C44" s="5" t="inlineStr"/>
      <c r="D44" s="4" t="inlineStr"/>
      <c r="E44" s="4" t="inlineStr"/>
    </row>
    <row r="45">
      <c r="A45" s="4" t="inlineStr"/>
      <c r="B45" s="4" t="inlineStr">
        <is>
          <t>I can normalise a table to 3NF, naming the dependency removed at each stage.</t>
        </is>
      </c>
      <c r="C45" s="5" t="inlineStr"/>
      <c r="D45" s="4" t="inlineStr"/>
      <c r="E45" s="4" t="inlineStr"/>
    </row>
    <row r="46">
      <c r="A46" s="4" t="inlineStr"/>
      <c r="B46" s="4" t="inlineStr">
        <is>
          <t>I can write and interpret SQL, and explain referential integrity, transactions, ACID and record locking.</t>
        </is>
      </c>
      <c r="C46" s="5" t="inlineStr"/>
      <c r="D46" s="4" t="inlineStr"/>
      <c r="E46" s="4" t="inlineStr"/>
    </row>
    <row r="47">
      <c r="A47" s="2" t="inlineStr">
        <is>
          <t>1.3.3</t>
        </is>
      </c>
      <c r="B47" s="2" t="inlineStr">
        <is>
          <t>Networks</t>
        </is>
      </c>
      <c r="C47" s="3" t="inlineStr"/>
      <c r="D47" s="2" t="inlineStr"/>
      <c r="E47" s="2" t="inlineStr"/>
    </row>
    <row r="48">
      <c r="A48" s="4" t="inlineStr"/>
      <c r="B48" s="4" t="inlineStr">
        <is>
          <t>I can compare LANs and WANs, and client-server and peer-to-peer models, with examples and trade-offs.</t>
        </is>
      </c>
      <c r="C48" s="5" t="inlineStr"/>
      <c r="D48" s="4" t="inlineStr"/>
      <c r="E48" s="4" t="inlineStr"/>
    </row>
    <row r="49">
      <c r="A49" s="4" t="inlineStr"/>
      <c r="B49" s="4" t="inlineStr">
        <is>
          <t>I can explain the purpose of protocols and standards and describe the role of each TCP/IP layer, including encapsulation.</t>
        </is>
      </c>
      <c r="C49" s="5" t="inlineStr"/>
      <c r="D49" s="4" t="inlineStr"/>
      <c r="E49" s="4" t="inlineStr"/>
    </row>
    <row r="50">
      <c r="A50" s="4" t="inlineStr"/>
      <c r="B50" s="4" t="inlineStr">
        <is>
          <t>I can describe how DNS resolves a domain name to an IP address, including the hierarchy and caching.</t>
        </is>
      </c>
      <c r="C50" s="5" t="inlineStr"/>
      <c r="D50" s="4" t="inlineStr"/>
      <c r="E50" s="4" t="inlineStr"/>
    </row>
    <row r="51">
      <c r="A51" s="4" t="inlineStr"/>
      <c r="B51" s="4" t="inlineStr">
        <is>
          <t>I can compare packet and circuit switching and state the function of key network hardware.</t>
        </is>
      </c>
      <c r="C51" s="5" t="inlineStr"/>
      <c r="D51" s="4" t="inlineStr"/>
      <c r="E51" s="4" t="inlineStr"/>
    </row>
    <row r="52">
      <c r="A52" s="2" t="inlineStr">
        <is>
          <t>1.3.4</t>
        </is>
      </c>
      <c r="B52" s="2" t="inlineStr">
        <is>
          <t>Web Technologies (part 1)</t>
        </is>
      </c>
      <c r="C52" s="3" t="inlineStr"/>
      <c r="D52" s="2" t="inlineStr"/>
      <c r="E52" s="2" t="inlineStr"/>
    </row>
    <row r="53">
      <c r="A53" s="4" t="inlineStr"/>
      <c r="B53" s="4" t="inlineStr">
        <is>
          <t>I can describe how a browser requests a page from a web server and the roles of HTML, CSS and JavaScript.</t>
        </is>
      </c>
      <c r="C53" s="5" t="inlineStr"/>
      <c r="D53" s="4" t="inlineStr"/>
      <c r="E53" s="4" t="inlineStr"/>
    </row>
    <row r="54">
      <c r="A54" s="4" t="inlineStr"/>
      <c r="B54" s="4" t="inlineStr">
        <is>
          <t>I can write and interpret HTML using the tags and attributes OCR names, correctly nested.</t>
        </is>
      </c>
      <c r="C54" s="5" t="inlineStr"/>
      <c r="D54" s="4" t="inlineStr"/>
      <c r="E54" s="4" t="inlineStr"/>
    </row>
    <row r="55">
      <c r="A55" s="4" t="inlineStr"/>
      <c r="B55" s="4" t="inlineStr">
        <is>
          <t>I can style a page with CSS element, class and id selectors placed inline, internally or in an external stylesheet.</t>
        </is>
      </c>
      <c r="C55" s="5" t="inlineStr"/>
      <c r="D55" s="4" t="inlineStr"/>
      <c r="E55" s="4" t="inlineStr"/>
    </row>
    <row r="56">
      <c r="A56" s="4" t="inlineStr"/>
      <c r="B56" s="4" t="inlineStr">
        <is>
          <t>I can write simple JavaScript including form validation, and compare client-side with server-side processing.</t>
        </is>
      </c>
      <c r="C56" s="5" t="inlineStr"/>
      <c r="D56" s="4" t="inlineStr"/>
      <c r="E56" s="4" t="inlineStr"/>
    </row>
    <row r="57">
      <c r="A57" s="2" t="inlineStr">
        <is>
          <t>1.4.1</t>
        </is>
      </c>
      <c r="B57" s="2" t="inlineStr">
        <is>
          <t>Data Types</t>
        </is>
      </c>
      <c r="C57" s="3" t="inlineStr"/>
      <c r="D57" s="2" t="inlineStr"/>
      <c r="E57" s="2" t="inlineStr"/>
    </row>
    <row r="58">
      <c r="A58" s="4" t="inlineStr"/>
      <c r="B58" s="4" t="inlineStr">
        <is>
          <t>Convert confidently between denary, binary and hexadecimal, and represent signed integers using two's complement.</t>
        </is>
      </c>
      <c r="C58" s="5" t="inlineStr"/>
      <c r="D58" s="4" t="inlineStr"/>
      <c r="E58" s="4" t="inlineStr"/>
    </row>
    <row r="59">
      <c r="A59" s="4" t="inlineStr"/>
      <c r="B59" s="4" t="inlineStr">
        <is>
          <t>Apply binary addition, subtraction and logical/arithmetic shifts, identifying overflow and the arithmetic effect of each shift.</t>
        </is>
      </c>
      <c r="C59" s="5" t="inlineStr"/>
      <c r="D59" s="4" t="inlineStr"/>
      <c r="E59" s="4" t="inlineStr"/>
    </row>
    <row r="60">
      <c r="A60" s="4" t="inlineStr"/>
      <c r="B60" s="4" t="inlineStr">
        <is>
          <t>Explain floating-point representation (mantissa and exponent), normalisation, and how character sets such as ASCII and Unicode encode characters.</t>
        </is>
      </c>
      <c r="C60" s="5" t="inlineStr"/>
      <c r="D60" s="4" t="inlineStr"/>
      <c r="E60" s="4" t="inlineStr"/>
    </row>
    <row r="61">
      <c r="A61" s="2" t="inlineStr">
        <is>
          <t>1.4.2</t>
        </is>
      </c>
      <c r="B61" s="2" t="inlineStr">
        <is>
          <t>Data Structures</t>
        </is>
      </c>
      <c r="C61" s="3" t="inlineStr"/>
      <c r="D61" s="2" t="inlineStr"/>
      <c r="E61" s="2" t="inlineStr"/>
    </row>
    <row r="62">
      <c r="A62" s="4" t="inlineStr"/>
      <c r="B62" s="4" t="inlineStr">
        <is>
          <t>Describe and distinguish static and dynamic data structures, including arrays, records, lists, tuples and linked lists.</t>
        </is>
      </c>
      <c r="C62" s="5" t="inlineStr"/>
      <c r="D62" s="4" t="inlineStr"/>
      <c r="E62" s="4" t="inlineStr"/>
    </row>
    <row r="63">
      <c r="A63" s="4" t="inlineStr"/>
      <c r="B63" s="4" t="inlineStr">
        <is>
          <t>Trace operations on stacks and queues, and explain their LIFO/FIFO behaviour and real-world uses.</t>
        </is>
      </c>
      <c r="C63" s="5" t="inlineStr"/>
      <c r="D63" s="4" t="inlineStr"/>
      <c r="E63" s="4" t="inlineStr"/>
    </row>
    <row r="64">
      <c r="A64" s="4" t="inlineStr"/>
      <c r="B64" s="4" t="inlineStr">
        <is>
          <t>Explain how graphs, trees, binary search trees and hash tables store and retrieve data, including traversal order and collisions.</t>
        </is>
      </c>
      <c r="C64" s="5" t="inlineStr"/>
      <c r="D64" s="4" t="inlineStr"/>
      <c r="E64" s="4" t="inlineStr"/>
    </row>
    <row r="65">
      <c r="A65" s="2" t="inlineStr">
        <is>
          <t>1.4.3</t>
        </is>
      </c>
      <c r="B65" s="2" t="inlineStr">
        <is>
          <t>Boolean Algebra</t>
        </is>
      </c>
      <c r="C65" s="3" t="inlineStr"/>
      <c r="D65" s="2" t="inlineStr"/>
      <c r="E65" s="2" t="inlineStr"/>
    </row>
    <row r="66">
      <c r="A66" s="4" t="inlineStr"/>
      <c r="B66" s="4" t="inlineStr">
        <is>
          <t>Construct truth tables for logic gates and combined expressions, including AND, OR, XOR, NAND and NOR.</t>
        </is>
      </c>
      <c r="C66" s="5" t="inlineStr"/>
      <c r="D66" s="4" t="inlineStr"/>
      <c r="E66" s="4" t="inlineStr"/>
    </row>
    <row r="67">
      <c r="A67" s="4" t="inlineStr"/>
      <c r="B67" s="4" t="inlineStr">
        <is>
          <t>Simplify Boolean expressions using identities, De Morgan's laws and Karnaugh maps.</t>
        </is>
      </c>
      <c r="C67" s="5" t="inlineStr"/>
      <c r="D67" s="4" t="inlineStr"/>
      <c r="E67" s="4" t="inlineStr"/>
    </row>
    <row r="68">
      <c r="A68" s="4" t="inlineStr"/>
      <c r="B68" s="4" t="inlineStr">
        <is>
          <t>Describe the operation of half adders, full adders and D-type flip-flops, distinguishing combinational and sequential logic.</t>
        </is>
      </c>
      <c r="C68" s="5" t="inlineStr"/>
      <c r="D68" s="4" t="inlineStr"/>
      <c r="E68" s="4" t="inlineStr"/>
    </row>
    <row r="69">
      <c r="A69" s="2" t="inlineStr">
        <is>
          <t>1.5.1</t>
        </is>
      </c>
      <c r="B69" s="2" t="inlineStr">
        <is>
          <t>Computing Related Legislation</t>
        </is>
      </c>
      <c r="C69" s="3" t="inlineStr"/>
      <c r="D69" s="2" t="inlineStr"/>
      <c r="E69" s="2" t="inlineStr"/>
    </row>
    <row r="70">
      <c r="A70" s="4" t="inlineStr"/>
      <c r="B70" s="4" t="inlineStr">
        <is>
          <t>Identify and describe the four key Acts: the Data Protection Act 1998/2018 (with GDPR), the Computer Misuse Act 1990, the Copyright, Designs &amp; Patents Act 1988 and the Regulation of Investigatory Powers Act 2000.</t>
        </is>
      </c>
      <c r="C70" s="5" t="inlineStr"/>
      <c r="D70" s="4" t="inlineStr"/>
      <c r="E70" s="4" t="inlineStr"/>
    </row>
    <row r="71">
      <c r="A71" s="4" t="inlineStr"/>
      <c r="B71" s="4" t="inlineStr">
        <is>
          <t>Select the correct law (and Computer Misuse Act offence) that applies to a given computing scenario, naming the responsible party.</t>
        </is>
      </c>
      <c r="C71" s="5" t="inlineStr"/>
      <c r="D71" s="4" t="inlineStr"/>
      <c r="E71" s="4" t="inlineStr"/>
    </row>
    <row r="72">
      <c r="A72" s="4" t="inlineStr"/>
      <c r="B72" s="4" t="inlineStr">
        <is>
          <t>Explain why more than one law can apply to a single scenario, distinguishing between the wrongdoing of each party involved.</t>
        </is>
      </c>
      <c r="C72" s="5" t="inlineStr"/>
      <c r="D72" s="4" t="inlineStr"/>
      <c r="E72" s="4" t="inlineStr"/>
    </row>
    <row r="73">
      <c r="A73" s="2" t="inlineStr">
        <is>
          <t>1.5.2</t>
        </is>
      </c>
      <c r="B73" s="2" t="inlineStr">
        <is>
          <t>Moral and Ethical Issues</t>
        </is>
      </c>
      <c r="C73" s="3" t="inlineStr"/>
      <c r="D73" s="2" t="inlineStr"/>
      <c r="E73" s="2" t="inlineStr"/>
    </row>
    <row r="74">
      <c r="A74" s="4" t="inlineStr"/>
      <c r="B74" s="4" t="inlineStr">
        <is>
          <t>Describe the key moral, ethical, cultural and social issues raised by computing, identifying both a benefit and a drawback for each.</t>
        </is>
      </c>
      <c r="C74" s="5" t="inlineStr"/>
      <c r="D74" s="4" t="inlineStr"/>
      <c r="E74" s="4" t="inlineStr"/>
    </row>
    <row r="75">
      <c r="A75" s="4" t="inlineStr"/>
      <c r="B75" s="4" t="inlineStr">
        <is>
          <t>Identify the stakeholders affected by a computing decision and explain how the same fact can benefit one group while harming another.</t>
        </is>
      </c>
      <c r="C75" s="5" t="inlineStr"/>
      <c r="D75" s="4" t="inlineStr"/>
      <c r="E75" s="4" t="inlineStr"/>
    </row>
    <row r="76">
      <c r="A76" s="4" t="inlineStr"/>
      <c r="B76" s="4" t="inlineStr">
        <is>
          <t>Structure a balanced levels-of-response 'discuss' answer that weighs both sides and reaches a justified conclusion.</t>
        </is>
      </c>
      <c r="C76" s="5" t="inlineStr"/>
      <c r="D76" s="4" t="inlineStr"/>
      <c r="E76" s="4" t="inlineStr"/>
    </row>
    <row r="77">
      <c r="A77" s="2" t="inlineStr">
        <is>
          <t>2.1.1</t>
        </is>
      </c>
      <c r="B77" s="2" t="inlineStr">
        <is>
          <t>Thinking Abstractly</t>
        </is>
      </c>
      <c r="C77" s="3" t="inlineStr"/>
      <c r="D77" s="2" t="inlineStr"/>
      <c r="E77" s="2" t="inlineStr"/>
    </row>
    <row r="78">
      <c r="A78" s="4" t="inlineStr"/>
      <c r="B78" s="4" t="inlineStr">
        <is>
          <t>I can explain the nature and need for abstraction: removing detail irrelevant to the problem</t>
        </is>
      </c>
      <c r="C78" s="5" t="inlineStr"/>
      <c r="D78" s="4" t="inlineStr"/>
      <c r="E78" s="4" t="inlineStr"/>
    </row>
    <row r="79">
      <c r="A79" s="4" t="inlineStr"/>
      <c r="B79" s="4" t="inlineStr">
        <is>
          <t>I can distinguish representational abstraction from generalisation, with a valid example of each</t>
        </is>
      </c>
      <c r="C79" s="5" t="inlineStr"/>
      <c r="D79" s="4" t="inlineStr"/>
      <c r="E79" s="4" t="inlineStr"/>
    </row>
    <row r="80">
      <c r="A80" s="4" t="inlineStr"/>
      <c r="B80" s="4" t="inlineStr">
        <is>
          <t>I can compare an abstraction with reality and justify which details are kept or discarded for a purpose</t>
        </is>
      </c>
      <c r="C80" s="5" t="inlineStr"/>
      <c r="D80" s="4" t="inlineStr"/>
      <c r="E80" s="4" t="inlineStr"/>
    </row>
    <row r="81">
      <c r="A81" s="4" t="inlineStr"/>
      <c r="B81" s="4" t="inlineStr">
        <is>
          <t>I can devise an abstract model for a given real-world scenario</t>
        </is>
      </c>
      <c r="C81" s="5" t="inlineStr"/>
      <c r="D81" s="4" t="inlineStr"/>
      <c r="E81" s="4" t="inlineStr"/>
    </row>
    <row r="82">
      <c r="A82" s="2" t="inlineStr">
        <is>
          <t>2.1.2</t>
        </is>
      </c>
      <c r="B82" s="2" t="inlineStr">
        <is>
          <t>Thinking Ahead</t>
        </is>
      </c>
      <c r="C82" s="3" t="inlineStr"/>
      <c r="D82" s="2" t="inlineStr"/>
      <c r="E82" s="2" t="inlineStr"/>
    </row>
    <row r="83">
      <c r="A83" s="4" t="inlineStr"/>
      <c r="B83" s="4" t="inlineStr">
        <is>
          <t>I can identify the inputs and outputs of a routine, distinguishing them from internal processes.</t>
        </is>
      </c>
      <c r="C83" s="5" t="inlineStr"/>
      <c r="D83" s="4" t="inlineStr"/>
      <c r="E83" s="4" t="inlineStr"/>
    </row>
    <row r="84">
      <c r="A84" s="4" t="inlineStr"/>
      <c r="B84" s="4" t="inlineStr">
        <is>
          <t>I can state preconditions for a routine and explain the consequences of not meeting them.</t>
        </is>
      </c>
      <c r="C84" s="5" t="inlineStr"/>
      <c r="D84" s="4" t="inlineStr"/>
      <c r="E84" s="4" t="inlineStr"/>
    </row>
    <row r="85">
      <c r="A85" s="4" t="inlineStr"/>
      <c r="B85" s="4" t="inlineStr">
        <is>
          <t>I can explain caching and prefetching, pairing each benefit with its trade-off.</t>
        </is>
      </c>
      <c r="C85" s="5" t="inlineStr"/>
      <c r="D85" s="4" t="inlineStr"/>
      <c r="E85" s="4" t="inlineStr"/>
    </row>
    <row r="86">
      <c r="A86" s="4" t="inlineStr"/>
      <c r="B86" s="4" t="inlineStr">
        <is>
          <t>I can justify the use of reusable program components in a given scenario.</t>
        </is>
      </c>
      <c r="C86" s="5" t="inlineStr"/>
      <c r="D86" s="4" t="inlineStr"/>
      <c r="E86" s="4" t="inlineStr"/>
    </row>
    <row r="87">
      <c r="A87" s="2" t="inlineStr">
        <is>
          <t>2.1.3</t>
        </is>
      </c>
      <c r="B87" s="2" t="inlineStr">
        <is>
          <t>Thinking Procedurally</t>
        </is>
      </c>
      <c r="C87" s="3" t="inlineStr"/>
      <c r="D87" s="2" t="inlineStr"/>
      <c r="E87" s="2" t="inlineStr"/>
    </row>
    <row r="88">
      <c r="A88" s="4" t="inlineStr"/>
      <c r="B88" s="4" t="inlineStr">
        <is>
          <t>Identify the components of a problem and decompose it into smaller sub-problems.</t>
        </is>
      </c>
      <c r="C88" s="5" t="inlineStr"/>
      <c r="D88" s="4" t="inlineStr"/>
      <c r="E88" s="4" t="inlineStr"/>
    </row>
    <row r="89">
      <c r="A89" s="4" t="inlineStr"/>
      <c r="B89" s="4" t="inlineStr">
        <is>
          <t>Identify the components of a solution as named sub-procedures, each doing one clear job.</t>
        </is>
      </c>
      <c r="C89" s="5" t="inlineStr"/>
      <c r="D89" s="4" t="inlineStr"/>
      <c r="E89" s="4" t="inlineStr"/>
    </row>
    <row r="90">
      <c r="A90" s="4" t="inlineStr"/>
      <c r="B90" s="4" t="inlineStr">
        <is>
          <t>Determine and justify the order of steps needed to solve a problem using data dependencies.</t>
        </is>
      </c>
      <c r="C90" s="5" t="inlineStr"/>
      <c r="D90" s="4" t="inlineStr"/>
      <c r="E90" s="4" t="inlineStr"/>
    </row>
    <row r="91">
      <c r="A91" s="4" t="inlineStr"/>
      <c r="B91" s="4" t="inlineStr">
        <is>
          <t>Explain the benefits of a modular, procedural solution for building, testing and maintenance.</t>
        </is>
      </c>
      <c r="C91" s="5" t="inlineStr"/>
      <c r="D91" s="4" t="inlineStr"/>
      <c r="E91" s="4" t="inlineStr"/>
    </row>
    <row r="92">
      <c r="A92" s="2" t="inlineStr">
        <is>
          <t>2.1.4</t>
        </is>
      </c>
      <c r="B92" s="2" t="inlineStr">
        <is>
          <t>Thinking Logically</t>
        </is>
      </c>
      <c r="C92" s="3" t="inlineStr"/>
      <c r="D92" s="2" t="inlineStr"/>
      <c r="E92" s="2" t="inlineStr"/>
    </row>
    <row r="93">
      <c r="A93" s="4" t="inlineStr"/>
      <c r="B93" s="4" t="inlineStr">
        <is>
          <t>Identify the points in a problem or program where a decision has to be taken.</t>
        </is>
      </c>
      <c r="C93" s="5" t="inlineStr"/>
      <c r="D93" s="4" t="inlineStr"/>
      <c r="E93" s="4" t="inlineStr"/>
    </row>
    <row r="94">
      <c r="A94" s="4" t="inlineStr"/>
      <c r="B94" s="4" t="inlineStr">
        <is>
          <t>Determine the exact Boolean conditions, using comparison and logical operators, that affect each decision's outcome.</t>
        </is>
      </c>
      <c r="C94" s="5" t="inlineStr"/>
      <c r="D94" s="4" t="inlineStr"/>
      <c r="E94" s="4" t="inlineStr"/>
    </row>
    <row r="95">
      <c r="A95" s="4" t="inlineStr"/>
      <c r="B95" s="4" t="inlineStr">
        <is>
          <t>Explain how decisions determine the flow of control through selection and iteration, stating both branches.</t>
        </is>
      </c>
      <c r="C95" s="5" t="inlineStr"/>
      <c r="D95" s="4" t="inlineStr"/>
      <c r="E95" s="4" t="inlineStr"/>
    </row>
    <row r="96">
      <c r="A96" s="4" t="inlineStr"/>
      <c r="B96" s="4" t="inlineStr">
        <is>
          <t>Verify the logical flow of a routine using a trace table and correct common logic errors.</t>
        </is>
      </c>
      <c r="C96" s="5" t="inlineStr"/>
      <c r="D96" s="4" t="inlineStr"/>
      <c r="E96" s="4" t="inlineStr"/>
    </row>
    <row r="97">
      <c r="A97" s="2" t="inlineStr">
        <is>
          <t>2.1.5</t>
        </is>
      </c>
      <c r="B97" s="2" t="inlineStr">
        <is>
          <t>Thinking Concurrently</t>
        </is>
      </c>
      <c r="C97" s="3" t="inlineStr"/>
      <c r="D97" s="2" t="inlineStr"/>
      <c r="E97" s="2" t="inlineStr"/>
    </row>
    <row r="98">
      <c r="A98" s="4" t="inlineStr"/>
      <c r="B98" s="4" t="inlineStr">
        <is>
          <t>Identify tasks that can run concurrently because they have no data dependency.</t>
        </is>
      </c>
      <c r="C98" s="5" t="inlineStr"/>
      <c r="D98" s="4" t="inlineStr"/>
      <c r="E98" s="4" t="inlineStr"/>
    </row>
    <row r="99">
      <c r="A99" s="4" t="inlineStr"/>
      <c r="B99" s="4" t="inlineStr">
        <is>
          <t>Explain the benefits and trade-offs of concurrency, including race conditions and deadlock.</t>
        </is>
      </c>
      <c r="C99" s="5" t="inlineStr"/>
      <c r="D99" s="4" t="inlineStr"/>
      <c r="E99" s="4" t="inlineStr"/>
    </row>
    <row r="100">
      <c r="A100" s="4" t="inlineStr"/>
      <c r="B100" s="4" t="inlineStr">
        <is>
          <t>Apply concurrent thinking to an unseen scenario, weighing one benefit against one trade-off.</t>
        </is>
      </c>
      <c r="C100" s="5" t="inlineStr"/>
      <c r="D100" s="4" t="inlineStr"/>
      <c r="E100" s="4" t="inlineStr"/>
    </row>
    <row r="101">
      <c r="A101" s="2" t="inlineStr">
        <is>
          <t>2.2.1</t>
        </is>
      </c>
      <c r="B101" s="2" t="inlineStr">
        <is>
          <t>Programming Techniques</t>
        </is>
      </c>
      <c r="C101" s="3" t="inlineStr"/>
      <c r="D101" s="2" t="inlineStr"/>
      <c r="E101" s="2" t="inlineStr"/>
    </row>
    <row r="102">
      <c r="A102" s="4" t="inlineStr"/>
      <c r="B102" s="4" t="inlineStr">
        <is>
          <t>Describe and distinguish the programming constructs (sequence, selection, count- and condition-controlled iteration), recursion, scope, modularity and OOP</t>
        </is>
      </c>
      <c r="C102" s="5" t="inlineStr"/>
      <c r="D102" s="4" t="inlineStr"/>
      <c r="E102" s="4" t="inlineStr"/>
    </row>
    <row r="103">
      <c r="A103" s="4" t="inlineStr"/>
      <c r="B103" s="4" t="inlineStr">
        <is>
          <t>Explain how recursion uses a base case and a call stack of frames, and contrast it with iteration</t>
        </is>
      </c>
      <c r="C103" s="5" t="inlineStr"/>
      <c r="D103" s="4" t="inlineStr"/>
      <c r="E103" s="4" t="inlineStr"/>
    </row>
    <row r="104">
      <c r="A104" s="4" t="inlineStr"/>
      <c r="B104" s="4" t="inlineStr">
        <is>
          <t>Apply scope rules, parameter passing (by value vs by reference) and OOP concepts (encapsulation, inheritance, polymorphism) when reading and writing OCR pseudocode</t>
        </is>
      </c>
      <c r="C104" s="5" t="inlineStr"/>
      <c r="D104" s="4" t="inlineStr"/>
      <c r="E104" s="4" t="inlineStr"/>
    </row>
    <row r="105">
      <c r="A105" s="2" t="inlineStr">
        <is>
          <t>2.2.2</t>
        </is>
      </c>
      <c r="B105" s="2" t="inlineStr">
        <is>
          <t>Computational Methods</t>
        </is>
      </c>
      <c r="C105" s="3" t="inlineStr"/>
      <c r="D105" s="2" t="inlineStr"/>
      <c r="E105" s="2" t="inlineStr"/>
    </row>
    <row r="106">
      <c r="A106" s="4" t="inlineStr"/>
      <c r="B106" s="4" t="inlineStr">
        <is>
          <t>State the features that make a problem solvable computationally and recognise non-computable and intractable problems</t>
        </is>
      </c>
      <c r="C106" s="5" t="inlineStr"/>
      <c r="D106" s="4" t="inlineStr"/>
      <c r="E106" s="4" t="inlineStr"/>
    </row>
    <row r="107">
      <c r="A107" s="4" t="inlineStr"/>
      <c r="B107" s="4" t="inlineStr">
        <is>
          <t>Describe problem recognition, decomposition, divide and conquer, and abstraction (representational and by generalisation)</t>
        </is>
      </c>
      <c r="C107" s="5" t="inlineStr"/>
      <c r="D107" s="4" t="inlineStr"/>
      <c r="E107" s="4" t="inlineStr"/>
    </row>
    <row r="108">
      <c r="A108" s="4" t="inlineStr"/>
      <c r="B108" s="4" t="inlineStr">
        <is>
          <t>Apply named computational methods (backtracking, data mining, heuristics, performance modelling, pipelining, visualisation) to suitable problems, justifying why each fits</t>
        </is>
      </c>
      <c r="C108" s="5" t="inlineStr"/>
      <c r="D108" s="4" t="inlineStr"/>
      <c r="E108" s="4" t="inlineStr"/>
    </row>
    <row r="109">
      <c r="A109" s="2" t="inlineStr">
        <is>
          <t>2.3.1</t>
        </is>
      </c>
      <c r="B109" s="2" t="inlineStr">
        <is>
          <t>Algorithms</t>
        </is>
      </c>
      <c r="C109" s="3" t="inlineStr"/>
      <c r="D109" s="2" t="inlineStr"/>
      <c r="E109" s="2" t="inlineStr"/>
    </row>
    <row r="110">
      <c r="A110" s="4" t="inlineStr"/>
      <c r="B110" s="4" t="inlineStr">
        <is>
          <t>Use Big O notation to express and justify the time and space complexity of an algorithm, simplifying expressions to the dominant term.</t>
        </is>
      </c>
      <c r="C110" s="5" t="inlineStr"/>
      <c r="D110" s="4" t="inlineStr"/>
      <c r="E110" s="4" t="inlineStr"/>
    </row>
    <row r="111">
      <c r="A111" s="4" t="inlineStr"/>
      <c r="B111" s="4" t="inlineStr">
        <is>
          <t>Compare standard searching and sorting algorithms by how they work and their best, average and worst-case complexities.</t>
        </is>
      </c>
      <c r="C111" s="5" t="inlineStr"/>
      <c r="D111" s="4" t="inlineStr"/>
      <c r="E111" s="4" t="inlineStr"/>
    </row>
    <row r="112">
      <c r="A112" s="4" t="inlineStr"/>
      <c r="B112" s="4" t="inlineStr">
        <is>
          <t>Describe and trace algorithms on data structures, including tree traversals and the shortest-path algorithms Dijkstra and A*.</t>
        </is>
      </c>
      <c r="C112" s="5" t="inlineStr"/>
      <c r="D112" s="4" t="inlineStr"/>
      <c r="E112" s="4" t="inlineStr"/>
    </row>
    <row r="114">
      <c r="B114" s="6" t="inlineStr">
        <is>
          <t>🔴 Not yet (R):</t>
        </is>
      </c>
      <c r="C114">
        <f>COUNTIF(C2:C112,"R")</f>
        <v/>
      </c>
    </row>
    <row r="115">
      <c r="B115" s="6" t="inlineStr">
        <is>
          <t>🟠 Getting there (A):</t>
        </is>
      </c>
      <c r="C115">
        <f>COUNTIF(C2:C112,"A")</f>
        <v/>
      </c>
    </row>
    <row r="116">
      <c r="B116" s="6" t="inlineStr">
        <is>
          <t>🟢 Confident (G):</t>
        </is>
      </c>
      <c r="C116">
        <f>COUNTIF(C2:C112,"G")</f>
        <v/>
      </c>
    </row>
    <row r="117">
      <c r="B117" s="7" t="inlineStr">
        <is>
          <t>Total objectives:</t>
        </is>
      </c>
      <c r="C117" t="n">
        <v>87</v>
      </c>
    </row>
  </sheetData>
  <conditionalFormatting sqref="C3">
    <cfRule type="cellIs" priority="1" operator="equal" dxfId="0">
      <formula>"R"</formula>
    </cfRule>
    <cfRule type="cellIs" priority="2" operator="equal" dxfId="1">
      <formula>"A"</formula>
    </cfRule>
    <cfRule type="cellIs" priority="3" operator="equal" dxfId="2">
      <formula>"G"</formula>
    </cfRule>
  </conditionalFormatting>
  <conditionalFormatting sqref="C4">
    <cfRule type="cellIs" priority="4" operator="equal" dxfId="0">
      <formula>"R"</formula>
    </cfRule>
    <cfRule type="cellIs" priority="5" operator="equal" dxfId="1">
      <formula>"A"</formula>
    </cfRule>
    <cfRule type="cellIs" priority="6" operator="equal" dxfId="2">
      <formula>"G"</formula>
    </cfRule>
  </conditionalFormatting>
  <conditionalFormatting sqref="C5">
    <cfRule type="cellIs" priority="7" operator="equal" dxfId="0">
      <formula>"R"</formula>
    </cfRule>
    <cfRule type="cellIs" priority="8" operator="equal" dxfId="1">
      <formula>"A"</formula>
    </cfRule>
    <cfRule type="cellIs" priority="9" operator="equal" dxfId="2">
      <formula>"G"</formula>
    </cfRule>
  </conditionalFormatting>
  <conditionalFormatting sqref="C6">
    <cfRule type="cellIs" priority="10" operator="equal" dxfId="0">
      <formula>"R"</formula>
    </cfRule>
    <cfRule type="cellIs" priority="11" operator="equal" dxfId="1">
      <formula>"A"</formula>
    </cfRule>
    <cfRule type="cellIs" priority="12" operator="equal" dxfId="2">
      <formula>"G"</formula>
    </cfRule>
  </conditionalFormatting>
  <conditionalFormatting sqref="C8">
    <cfRule type="cellIs" priority="13" operator="equal" dxfId="0">
      <formula>"R"</formula>
    </cfRule>
    <cfRule type="cellIs" priority="14" operator="equal" dxfId="1">
      <formula>"A"</formula>
    </cfRule>
    <cfRule type="cellIs" priority="15" operator="equal" dxfId="2">
      <formula>"G"</formula>
    </cfRule>
  </conditionalFormatting>
  <conditionalFormatting sqref="C9">
    <cfRule type="cellIs" priority="16" operator="equal" dxfId="0">
      <formula>"R"</formula>
    </cfRule>
    <cfRule type="cellIs" priority="17" operator="equal" dxfId="1">
      <formula>"A"</formula>
    </cfRule>
    <cfRule type="cellIs" priority="18" operator="equal" dxfId="2">
      <formula>"G"</formula>
    </cfRule>
  </conditionalFormatting>
  <conditionalFormatting sqref="C10">
    <cfRule type="cellIs" priority="19" operator="equal" dxfId="0">
      <formula>"R"</formula>
    </cfRule>
    <cfRule type="cellIs" priority="20" operator="equal" dxfId="1">
      <formula>"A"</formula>
    </cfRule>
    <cfRule type="cellIs" priority="21" operator="equal" dxfId="2">
      <formula>"G"</formula>
    </cfRule>
  </conditionalFormatting>
  <conditionalFormatting sqref="C11">
    <cfRule type="cellIs" priority="22" operator="equal" dxfId="0">
      <formula>"R"</formula>
    </cfRule>
    <cfRule type="cellIs" priority="23" operator="equal" dxfId="1">
      <formula>"A"</formula>
    </cfRule>
    <cfRule type="cellIs" priority="24" operator="equal" dxfId="2">
      <formula>"G"</formula>
    </cfRule>
  </conditionalFormatting>
  <conditionalFormatting sqref="C13">
    <cfRule type="cellIs" priority="25" operator="equal" dxfId="0">
      <formula>"R"</formula>
    </cfRule>
    <cfRule type="cellIs" priority="26" operator="equal" dxfId="1">
      <formula>"A"</formula>
    </cfRule>
    <cfRule type="cellIs" priority="27" operator="equal" dxfId="2">
      <formula>"G"</formula>
    </cfRule>
  </conditionalFormatting>
  <conditionalFormatting sqref="C14">
    <cfRule type="cellIs" priority="28" operator="equal" dxfId="0">
      <formula>"R"</formula>
    </cfRule>
    <cfRule type="cellIs" priority="29" operator="equal" dxfId="1">
      <formula>"A"</formula>
    </cfRule>
    <cfRule type="cellIs" priority="30" operator="equal" dxfId="2">
      <formula>"G"</formula>
    </cfRule>
  </conditionalFormatting>
  <conditionalFormatting sqref="C15">
    <cfRule type="cellIs" priority="31" operator="equal" dxfId="0">
      <formula>"R"</formula>
    </cfRule>
    <cfRule type="cellIs" priority="32" operator="equal" dxfId="1">
      <formula>"A"</formula>
    </cfRule>
    <cfRule type="cellIs" priority="33" operator="equal" dxfId="2">
      <formula>"G"</formula>
    </cfRule>
  </conditionalFormatting>
  <conditionalFormatting sqref="C16">
    <cfRule type="cellIs" priority="34" operator="equal" dxfId="0">
      <formula>"R"</formula>
    </cfRule>
    <cfRule type="cellIs" priority="35" operator="equal" dxfId="1">
      <formula>"A"</formula>
    </cfRule>
    <cfRule type="cellIs" priority="36" operator="equal" dxfId="2">
      <formula>"G"</formula>
    </cfRule>
  </conditionalFormatting>
  <conditionalFormatting sqref="C18">
    <cfRule type="cellIs" priority="37" operator="equal" dxfId="0">
      <formula>"R"</formula>
    </cfRule>
    <cfRule type="cellIs" priority="38" operator="equal" dxfId="1">
      <formula>"A"</formula>
    </cfRule>
    <cfRule type="cellIs" priority="39" operator="equal" dxfId="2">
      <formula>"G"</formula>
    </cfRule>
  </conditionalFormatting>
  <conditionalFormatting sqref="C19">
    <cfRule type="cellIs" priority="40" operator="equal" dxfId="0">
      <formula>"R"</formula>
    </cfRule>
    <cfRule type="cellIs" priority="41" operator="equal" dxfId="1">
      <formula>"A"</formula>
    </cfRule>
    <cfRule type="cellIs" priority="42" operator="equal" dxfId="2">
      <formula>"G"</formula>
    </cfRule>
  </conditionalFormatting>
  <conditionalFormatting sqref="C20">
    <cfRule type="cellIs" priority="43" operator="equal" dxfId="0">
      <formula>"R"</formula>
    </cfRule>
    <cfRule type="cellIs" priority="44" operator="equal" dxfId="1">
      <formula>"A"</formula>
    </cfRule>
    <cfRule type="cellIs" priority="45" operator="equal" dxfId="2">
      <formula>"G"</formula>
    </cfRule>
  </conditionalFormatting>
  <conditionalFormatting sqref="C21">
    <cfRule type="cellIs" priority="46" operator="equal" dxfId="0">
      <formula>"R"</formula>
    </cfRule>
    <cfRule type="cellIs" priority="47" operator="equal" dxfId="1">
      <formula>"A"</formula>
    </cfRule>
    <cfRule type="cellIs" priority="48" operator="equal" dxfId="2">
      <formula>"G"</formula>
    </cfRule>
  </conditionalFormatting>
  <conditionalFormatting sqref="C23">
    <cfRule type="cellIs" priority="49" operator="equal" dxfId="0">
      <formula>"R"</formula>
    </cfRule>
    <cfRule type="cellIs" priority="50" operator="equal" dxfId="1">
      <formula>"A"</formula>
    </cfRule>
    <cfRule type="cellIs" priority="51" operator="equal" dxfId="2">
      <formula>"G"</formula>
    </cfRule>
  </conditionalFormatting>
  <conditionalFormatting sqref="C24">
    <cfRule type="cellIs" priority="52" operator="equal" dxfId="0">
      <formula>"R"</formula>
    </cfRule>
    <cfRule type="cellIs" priority="53" operator="equal" dxfId="1">
      <formula>"A"</formula>
    </cfRule>
    <cfRule type="cellIs" priority="54" operator="equal" dxfId="2">
      <formula>"G"</formula>
    </cfRule>
  </conditionalFormatting>
  <conditionalFormatting sqref="C25">
    <cfRule type="cellIs" priority="55" operator="equal" dxfId="0">
      <formula>"R"</formula>
    </cfRule>
    <cfRule type="cellIs" priority="56" operator="equal" dxfId="1">
      <formula>"A"</formula>
    </cfRule>
    <cfRule type="cellIs" priority="57" operator="equal" dxfId="2">
      <formula>"G"</formula>
    </cfRule>
  </conditionalFormatting>
  <conditionalFormatting sqref="C26">
    <cfRule type="cellIs" priority="58" operator="equal" dxfId="0">
      <formula>"R"</formula>
    </cfRule>
    <cfRule type="cellIs" priority="59" operator="equal" dxfId="1">
      <formula>"A"</formula>
    </cfRule>
    <cfRule type="cellIs" priority="60" operator="equal" dxfId="2">
      <formula>"G"</formula>
    </cfRule>
  </conditionalFormatting>
  <conditionalFormatting sqref="C28">
    <cfRule type="cellIs" priority="61" operator="equal" dxfId="0">
      <formula>"R"</formula>
    </cfRule>
    <cfRule type="cellIs" priority="62" operator="equal" dxfId="1">
      <formula>"A"</formula>
    </cfRule>
    <cfRule type="cellIs" priority="63" operator="equal" dxfId="2">
      <formula>"G"</formula>
    </cfRule>
  </conditionalFormatting>
  <conditionalFormatting sqref="C29">
    <cfRule type="cellIs" priority="64" operator="equal" dxfId="0">
      <formula>"R"</formula>
    </cfRule>
    <cfRule type="cellIs" priority="65" operator="equal" dxfId="1">
      <formula>"A"</formula>
    </cfRule>
    <cfRule type="cellIs" priority="66" operator="equal" dxfId="2">
      <formula>"G"</formula>
    </cfRule>
  </conditionalFormatting>
  <conditionalFormatting sqref="C30">
    <cfRule type="cellIs" priority="67" operator="equal" dxfId="0">
      <formula>"R"</formula>
    </cfRule>
    <cfRule type="cellIs" priority="68" operator="equal" dxfId="1">
      <formula>"A"</formula>
    </cfRule>
    <cfRule type="cellIs" priority="69" operator="equal" dxfId="2">
      <formula>"G"</formula>
    </cfRule>
  </conditionalFormatting>
  <conditionalFormatting sqref="C31">
    <cfRule type="cellIs" priority="70" operator="equal" dxfId="0">
      <formula>"R"</formula>
    </cfRule>
    <cfRule type="cellIs" priority="71" operator="equal" dxfId="1">
      <formula>"A"</formula>
    </cfRule>
    <cfRule type="cellIs" priority="72" operator="equal" dxfId="2">
      <formula>"G"</formula>
    </cfRule>
  </conditionalFormatting>
  <conditionalFormatting sqref="C33">
    <cfRule type="cellIs" priority="73" operator="equal" dxfId="0">
      <formula>"R"</formula>
    </cfRule>
    <cfRule type="cellIs" priority="74" operator="equal" dxfId="1">
      <formula>"A"</formula>
    </cfRule>
    <cfRule type="cellIs" priority="75" operator="equal" dxfId="2">
      <formula>"G"</formula>
    </cfRule>
  </conditionalFormatting>
  <conditionalFormatting sqref="C34">
    <cfRule type="cellIs" priority="76" operator="equal" dxfId="0">
      <formula>"R"</formula>
    </cfRule>
    <cfRule type="cellIs" priority="77" operator="equal" dxfId="1">
      <formula>"A"</formula>
    </cfRule>
    <cfRule type="cellIs" priority="78" operator="equal" dxfId="2">
      <formula>"G"</formula>
    </cfRule>
  </conditionalFormatting>
  <conditionalFormatting sqref="C35">
    <cfRule type="cellIs" priority="79" operator="equal" dxfId="0">
      <formula>"R"</formula>
    </cfRule>
    <cfRule type="cellIs" priority="80" operator="equal" dxfId="1">
      <formula>"A"</formula>
    </cfRule>
    <cfRule type="cellIs" priority="81" operator="equal" dxfId="2">
      <formula>"G"</formula>
    </cfRule>
  </conditionalFormatting>
  <conditionalFormatting sqref="C36">
    <cfRule type="cellIs" priority="82" operator="equal" dxfId="0">
      <formula>"R"</formula>
    </cfRule>
    <cfRule type="cellIs" priority="83" operator="equal" dxfId="1">
      <formula>"A"</formula>
    </cfRule>
    <cfRule type="cellIs" priority="84" operator="equal" dxfId="2">
      <formula>"G"</formula>
    </cfRule>
  </conditionalFormatting>
  <conditionalFormatting sqref="C38">
    <cfRule type="cellIs" priority="85" operator="equal" dxfId="0">
      <formula>"R"</formula>
    </cfRule>
    <cfRule type="cellIs" priority="86" operator="equal" dxfId="1">
      <formula>"A"</formula>
    </cfRule>
    <cfRule type="cellIs" priority="87" operator="equal" dxfId="2">
      <formula>"G"</formula>
    </cfRule>
  </conditionalFormatting>
  <conditionalFormatting sqref="C39">
    <cfRule type="cellIs" priority="88" operator="equal" dxfId="0">
      <formula>"R"</formula>
    </cfRule>
    <cfRule type="cellIs" priority="89" operator="equal" dxfId="1">
      <formula>"A"</formula>
    </cfRule>
    <cfRule type="cellIs" priority="90" operator="equal" dxfId="2">
      <formula>"G"</formula>
    </cfRule>
  </conditionalFormatting>
  <conditionalFormatting sqref="C40">
    <cfRule type="cellIs" priority="91" operator="equal" dxfId="0">
      <formula>"R"</formula>
    </cfRule>
    <cfRule type="cellIs" priority="92" operator="equal" dxfId="1">
      <formula>"A"</formula>
    </cfRule>
    <cfRule type="cellIs" priority="93" operator="equal" dxfId="2">
      <formula>"G"</formula>
    </cfRule>
  </conditionalFormatting>
  <conditionalFormatting sqref="C41">
    <cfRule type="cellIs" priority="94" operator="equal" dxfId="0">
      <formula>"R"</formula>
    </cfRule>
    <cfRule type="cellIs" priority="95" operator="equal" dxfId="1">
      <formula>"A"</formula>
    </cfRule>
    <cfRule type="cellIs" priority="96" operator="equal" dxfId="2">
      <formula>"G"</formula>
    </cfRule>
  </conditionalFormatting>
  <conditionalFormatting sqref="C43">
    <cfRule type="cellIs" priority="97" operator="equal" dxfId="0">
      <formula>"R"</formula>
    </cfRule>
    <cfRule type="cellIs" priority="98" operator="equal" dxfId="1">
      <formula>"A"</formula>
    </cfRule>
    <cfRule type="cellIs" priority="99" operator="equal" dxfId="2">
      <formula>"G"</formula>
    </cfRule>
  </conditionalFormatting>
  <conditionalFormatting sqref="C44">
    <cfRule type="cellIs" priority="100" operator="equal" dxfId="0">
      <formula>"R"</formula>
    </cfRule>
    <cfRule type="cellIs" priority="101" operator="equal" dxfId="1">
      <formula>"A"</formula>
    </cfRule>
    <cfRule type="cellIs" priority="102" operator="equal" dxfId="2">
      <formula>"G"</formula>
    </cfRule>
  </conditionalFormatting>
  <conditionalFormatting sqref="C45">
    <cfRule type="cellIs" priority="103" operator="equal" dxfId="0">
      <formula>"R"</formula>
    </cfRule>
    <cfRule type="cellIs" priority="104" operator="equal" dxfId="1">
      <formula>"A"</formula>
    </cfRule>
    <cfRule type="cellIs" priority="105" operator="equal" dxfId="2">
      <formula>"G"</formula>
    </cfRule>
  </conditionalFormatting>
  <conditionalFormatting sqref="C46">
    <cfRule type="cellIs" priority="106" operator="equal" dxfId="0">
      <formula>"R"</formula>
    </cfRule>
    <cfRule type="cellIs" priority="107" operator="equal" dxfId="1">
      <formula>"A"</formula>
    </cfRule>
    <cfRule type="cellIs" priority="108" operator="equal" dxfId="2">
      <formula>"G"</formula>
    </cfRule>
  </conditionalFormatting>
  <conditionalFormatting sqref="C48">
    <cfRule type="cellIs" priority="109" operator="equal" dxfId="0">
      <formula>"R"</formula>
    </cfRule>
    <cfRule type="cellIs" priority="110" operator="equal" dxfId="1">
      <formula>"A"</formula>
    </cfRule>
    <cfRule type="cellIs" priority="111" operator="equal" dxfId="2">
      <formula>"G"</formula>
    </cfRule>
  </conditionalFormatting>
  <conditionalFormatting sqref="C49">
    <cfRule type="cellIs" priority="112" operator="equal" dxfId="0">
      <formula>"R"</formula>
    </cfRule>
    <cfRule type="cellIs" priority="113" operator="equal" dxfId="1">
      <formula>"A"</formula>
    </cfRule>
    <cfRule type="cellIs" priority="114" operator="equal" dxfId="2">
      <formula>"G"</formula>
    </cfRule>
  </conditionalFormatting>
  <conditionalFormatting sqref="C50">
    <cfRule type="cellIs" priority="115" operator="equal" dxfId="0">
      <formula>"R"</formula>
    </cfRule>
    <cfRule type="cellIs" priority="116" operator="equal" dxfId="1">
      <formula>"A"</formula>
    </cfRule>
    <cfRule type="cellIs" priority="117" operator="equal" dxfId="2">
      <formula>"G"</formula>
    </cfRule>
  </conditionalFormatting>
  <conditionalFormatting sqref="C51">
    <cfRule type="cellIs" priority="118" operator="equal" dxfId="0">
      <formula>"R"</formula>
    </cfRule>
    <cfRule type="cellIs" priority="119" operator="equal" dxfId="1">
      <formula>"A"</formula>
    </cfRule>
    <cfRule type="cellIs" priority="120" operator="equal" dxfId="2">
      <formula>"G"</formula>
    </cfRule>
  </conditionalFormatting>
  <conditionalFormatting sqref="C53">
    <cfRule type="cellIs" priority="121" operator="equal" dxfId="0">
      <formula>"R"</formula>
    </cfRule>
    <cfRule type="cellIs" priority="122" operator="equal" dxfId="1">
      <formula>"A"</formula>
    </cfRule>
    <cfRule type="cellIs" priority="123" operator="equal" dxfId="2">
      <formula>"G"</formula>
    </cfRule>
  </conditionalFormatting>
  <conditionalFormatting sqref="C54">
    <cfRule type="cellIs" priority="124" operator="equal" dxfId="0">
      <formula>"R"</formula>
    </cfRule>
    <cfRule type="cellIs" priority="125" operator="equal" dxfId="1">
      <formula>"A"</formula>
    </cfRule>
    <cfRule type="cellIs" priority="126" operator="equal" dxfId="2">
      <formula>"G"</formula>
    </cfRule>
  </conditionalFormatting>
  <conditionalFormatting sqref="C55">
    <cfRule type="cellIs" priority="127" operator="equal" dxfId="0">
      <formula>"R"</formula>
    </cfRule>
    <cfRule type="cellIs" priority="128" operator="equal" dxfId="1">
      <formula>"A"</formula>
    </cfRule>
    <cfRule type="cellIs" priority="129" operator="equal" dxfId="2">
      <formula>"G"</formula>
    </cfRule>
  </conditionalFormatting>
  <conditionalFormatting sqref="C56">
    <cfRule type="cellIs" priority="130" operator="equal" dxfId="0">
      <formula>"R"</formula>
    </cfRule>
    <cfRule type="cellIs" priority="131" operator="equal" dxfId="1">
      <formula>"A"</formula>
    </cfRule>
    <cfRule type="cellIs" priority="132" operator="equal" dxfId="2">
      <formula>"G"</formula>
    </cfRule>
  </conditionalFormatting>
  <conditionalFormatting sqref="C58">
    <cfRule type="cellIs" priority="133" operator="equal" dxfId="0">
      <formula>"R"</formula>
    </cfRule>
    <cfRule type="cellIs" priority="134" operator="equal" dxfId="1">
      <formula>"A"</formula>
    </cfRule>
    <cfRule type="cellIs" priority="135" operator="equal" dxfId="2">
      <formula>"G"</formula>
    </cfRule>
  </conditionalFormatting>
  <conditionalFormatting sqref="C59">
    <cfRule type="cellIs" priority="136" operator="equal" dxfId="0">
      <formula>"R"</formula>
    </cfRule>
    <cfRule type="cellIs" priority="137" operator="equal" dxfId="1">
      <formula>"A"</formula>
    </cfRule>
    <cfRule type="cellIs" priority="138" operator="equal" dxfId="2">
      <formula>"G"</formula>
    </cfRule>
  </conditionalFormatting>
  <conditionalFormatting sqref="C60">
    <cfRule type="cellIs" priority="139" operator="equal" dxfId="0">
      <formula>"R"</formula>
    </cfRule>
    <cfRule type="cellIs" priority="140" operator="equal" dxfId="1">
      <formula>"A"</formula>
    </cfRule>
    <cfRule type="cellIs" priority="141" operator="equal" dxfId="2">
      <formula>"G"</formula>
    </cfRule>
  </conditionalFormatting>
  <conditionalFormatting sqref="C62">
    <cfRule type="cellIs" priority="142" operator="equal" dxfId="0">
      <formula>"R"</formula>
    </cfRule>
    <cfRule type="cellIs" priority="143" operator="equal" dxfId="1">
      <formula>"A"</formula>
    </cfRule>
    <cfRule type="cellIs" priority="144" operator="equal" dxfId="2">
      <formula>"G"</formula>
    </cfRule>
  </conditionalFormatting>
  <conditionalFormatting sqref="C63">
    <cfRule type="cellIs" priority="145" operator="equal" dxfId="0">
      <formula>"R"</formula>
    </cfRule>
    <cfRule type="cellIs" priority="146" operator="equal" dxfId="1">
      <formula>"A"</formula>
    </cfRule>
    <cfRule type="cellIs" priority="147" operator="equal" dxfId="2">
      <formula>"G"</formula>
    </cfRule>
  </conditionalFormatting>
  <conditionalFormatting sqref="C64">
    <cfRule type="cellIs" priority="148" operator="equal" dxfId="0">
      <formula>"R"</formula>
    </cfRule>
    <cfRule type="cellIs" priority="149" operator="equal" dxfId="1">
      <formula>"A"</formula>
    </cfRule>
    <cfRule type="cellIs" priority="150" operator="equal" dxfId="2">
      <formula>"G"</formula>
    </cfRule>
  </conditionalFormatting>
  <conditionalFormatting sqref="C66">
    <cfRule type="cellIs" priority="151" operator="equal" dxfId="0">
      <formula>"R"</formula>
    </cfRule>
    <cfRule type="cellIs" priority="152" operator="equal" dxfId="1">
      <formula>"A"</formula>
    </cfRule>
    <cfRule type="cellIs" priority="153" operator="equal" dxfId="2">
      <formula>"G"</formula>
    </cfRule>
  </conditionalFormatting>
  <conditionalFormatting sqref="C67">
    <cfRule type="cellIs" priority="154" operator="equal" dxfId="0">
      <formula>"R"</formula>
    </cfRule>
    <cfRule type="cellIs" priority="155" operator="equal" dxfId="1">
      <formula>"A"</formula>
    </cfRule>
    <cfRule type="cellIs" priority="156" operator="equal" dxfId="2">
      <formula>"G"</formula>
    </cfRule>
  </conditionalFormatting>
  <conditionalFormatting sqref="C68">
    <cfRule type="cellIs" priority="157" operator="equal" dxfId="0">
      <formula>"R"</formula>
    </cfRule>
    <cfRule type="cellIs" priority="158" operator="equal" dxfId="1">
      <formula>"A"</formula>
    </cfRule>
    <cfRule type="cellIs" priority="159" operator="equal" dxfId="2">
      <formula>"G"</formula>
    </cfRule>
  </conditionalFormatting>
  <conditionalFormatting sqref="C70">
    <cfRule type="cellIs" priority="160" operator="equal" dxfId="0">
      <formula>"R"</formula>
    </cfRule>
    <cfRule type="cellIs" priority="161" operator="equal" dxfId="1">
      <formula>"A"</formula>
    </cfRule>
    <cfRule type="cellIs" priority="162" operator="equal" dxfId="2">
      <formula>"G"</formula>
    </cfRule>
  </conditionalFormatting>
  <conditionalFormatting sqref="C71">
    <cfRule type="cellIs" priority="163" operator="equal" dxfId="0">
      <formula>"R"</formula>
    </cfRule>
    <cfRule type="cellIs" priority="164" operator="equal" dxfId="1">
      <formula>"A"</formula>
    </cfRule>
    <cfRule type="cellIs" priority="165" operator="equal" dxfId="2">
      <formula>"G"</formula>
    </cfRule>
  </conditionalFormatting>
  <conditionalFormatting sqref="C72">
    <cfRule type="cellIs" priority="166" operator="equal" dxfId="0">
      <formula>"R"</formula>
    </cfRule>
    <cfRule type="cellIs" priority="167" operator="equal" dxfId="1">
      <formula>"A"</formula>
    </cfRule>
    <cfRule type="cellIs" priority="168" operator="equal" dxfId="2">
      <formula>"G"</formula>
    </cfRule>
  </conditionalFormatting>
  <conditionalFormatting sqref="C74">
    <cfRule type="cellIs" priority="169" operator="equal" dxfId="0">
      <formula>"R"</formula>
    </cfRule>
    <cfRule type="cellIs" priority="170" operator="equal" dxfId="1">
      <formula>"A"</formula>
    </cfRule>
    <cfRule type="cellIs" priority="171" operator="equal" dxfId="2">
      <formula>"G"</formula>
    </cfRule>
  </conditionalFormatting>
  <conditionalFormatting sqref="C75">
    <cfRule type="cellIs" priority="172" operator="equal" dxfId="0">
      <formula>"R"</formula>
    </cfRule>
    <cfRule type="cellIs" priority="173" operator="equal" dxfId="1">
      <formula>"A"</formula>
    </cfRule>
    <cfRule type="cellIs" priority="174" operator="equal" dxfId="2">
      <formula>"G"</formula>
    </cfRule>
  </conditionalFormatting>
  <conditionalFormatting sqref="C76">
    <cfRule type="cellIs" priority="175" operator="equal" dxfId="0">
      <formula>"R"</formula>
    </cfRule>
    <cfRule type="cellIs" priority="176" operator="equal" dxfId="1">
      <formula>"A"</formula>
    </cfRule>
    <cfRule type="cellIs" priority="177" operator="equal" dxfId="2">
      <formula>"G"</formula>
    </cfRule>
  </conditionalFormatting>
  <conditionalFormatting sqref="C78">
    <cfRule type="cellIs" priority="178" operator="equal" dxfId="0">
      <formula>"R"</formula>
    </cfRule>
    <cfRule type="cellIs" priority="179" operator="equal" dxfId="1">
      <formula>"A"</formula>
    </cfRule>
    <cfRule type="cellIs" priority="180" operator="equal" dxfId="2">
      <formula>"G"</formula>
    </cfRule>
  </conditionalFormatting>
  <conditionalFormatting sqref="C79">
    <cfRule type="cellIs" priority="181" operator="equal" dxfId="0">
      <formula>"R"</formula>
    </cfRule>
    <cfRule type="cellIs" priority="182" operator="equal" dxfId="1">
      <formula>"A"</formula>
    </cfRule>
    <cfRule type="cellIs" priority="183" operator="equal" dxfId="2">
      <formula>"G"</formula>
    </cfRule>
  </conditionalFormatting>
  <conditionalFormatting sqref="C80">
    <cfRule type="cellIs" priority="184" operator="equal" dxfId="0">
      <formula>"R"</formula>
    </cfRule>
    <cfRule type="cellIs" priority="185" operator="equal" dxfId="1">
      <formula>"A"</formula>
    </cfRule>
    <cfRule type="cellIs" priority="186" operator="equal" dxfId="2">
      <formula>"G"</formula>
    </cfRule>
  </conditionalFormatting>
  <conditionalFormatting sqref="C81">
    <cfRule type="cellIs" priority="187" operator="equal" dxfId="0">
      <formula>"R"</formula>
    </cfRule>
    <cfRule type="cellIs" priority="188" operator="equal" dxfId="1">
      <formula>"A"</formula>
    </cfRule>
    <cfRule type="cellIs" priority="189" operator="equal" dxfId="2">
      <formula>"G"</formula>
    </cfRule>
  </conditionalFormatting>
  <conditionalFormatting sqref="C83">
    <cfRule type="cellIs" priority="190" operator="equal" dxfId="0">
      <formula>"R"</formula>
    </cfRule>
    <cfRule type="cellIs" priority="191" operator="equal" dxfId="1">
      <formula>"A"</formula>
    </cfRule>
    <cfRule type="cellIs" priority="192" operator="equal" dxfId="2">
      <formula>"G"</formula>
    </cfRule>
  </conditionalFormatting>
  <conditionalFormatting sqref="C84">
    <cfRule type="cellIs" priority="193" operator="equal" dxfId="0">
      <formula>"R"</formula>
    </cfRule>
    <cfRule type="cellIs" priority="194" operator="equal" dxfId="1">
      <formula>"A"</formula>
    </cfRule>
    <cfRule type="cellIs" priority="195" operator="equal" dxfId="2">
      <formula>"G"</formula>
    </cfRule>
  </conditionalFormatting>
  <conditionalFormatting sqref="C85">
    <cfRule type="cellIs" priority="196" operator="equal" dxfId="0">
      <formula>"R"</formula>
    </cfRule>
    <cfRule type="cellIs" priority="197" operator="equal" dxfId="1">
      <formula>"A"</formula>
    </cfRule>
    <cfRule type="cellIs" priority="198" operator="equal" dxfId="2">
      <formula>"G"</formula>
    </cfRule>
  </conditionalFormatting>
  <conditionalFormatting sqref="C86">
    <cfRule type="cellIs" priority="199" operator="equal" dxfId="0">
      <formula>"R"</formula>
    </cfRule>
    <cfRule type="cellIs" priority="200" operator="equal" dxfId="1">
      <formula>"A"</formula>
    </cfRule>
    <cfRule type="cellIs" priority="201" operator="equal" dxfId="2">
      <formula>"G"</formula>
    </cfRule>
  </conditionalFormatting>
  <conditionalFormatting sqref="C88">
    <cfRule type="cellIs" priority="202" operator="equal" dxfId="0">
      <formula>"R"</formula>
    </cfRule>
    <cfRule type="cellIs" priority="203" operator="equal" dxfId="1">
      <formula>"A"</formula>
    </cfRule>
    <cfRule type="cellIs" priority="204" operator="equal" dxfId="2">
      <formula>"G"</formula>
    </cfRule>
  </conditionalFormatting>
  <conditionalFormatting sqref="C89">
    <cfRule type="cellIs" priority="205" operator="equal" dxfId="0">
      <formula>"R"</formula>
    </cfRule>
    <cfRule type="cellIs" priority="206" operator="equal" dxfId="1">
      <formula>"A"</formula>
    </cfRule>
    <cfRule type="cellIs" priority="207" operator="equal" dxfId="2">
      <formula>"G"</formula>
    </cfRule>
  </conditionalFormatting>
  <conditionalFormatting sqref="C90">
    <cfRule type="cellIs" priority="208" operator="equal" dxfId="0">
      <formula>"R"</formula>
    </cfRule>
    <cfRule type="cellIs" priority="209" operator="equal" dxfId="1">
      <formula>"A"</formula>
    </cfRule>
    <cfRule type="cellIs" priority="210" operator="equal" dxfId="2">
      <formula>"G"</formula>
    </cfRule>
  </conditionalFormatting>
  <conditionalFormatting sqref="C91">
    <cfRule type="cellIs" priority="211" operator="equal" dxfId="0">
      <formula>"R"</formula>
    </cfRule>
    <cfRule type="cellIs" priority="212" operator="equal" dxfId="1">
      <formula>"A"</formula>
    </cfRule>
    <cfRule type="cellIs" priority="213" operator="equal" dxfId="2">
      <formula>"G"</formula>
    </cfRule>
  </conditionalFormatting>
  <conditionalFormatting sqref="C93">
    <cfRule type="cellIs" priority="214" operator="equal" dxfId="0">
      <formula>"R"</formula>
    </cfRule>
    <cfRule type="cellIs" priority="215" operator="equal" dxfId="1">
      <formula>"A"</formula>
    </cfRule>
    <cfRule type="cellIs" priority="216" operator="equal" dxfId="2">
      <formula>"G"</formula>
    </cfRule>
  </conditionalFormatting>
  <conditionalFormatting sqref="C94">
    <cfRule type="cellIs" priority="217" operator="equal" dxfId="0">
      <formula>"R"</formula>
    </cfRule>
    <cfRule type="cellIs" priority="218" operator="equal" dxfId="1">
      <formula>"A"</formula>
    </cfRule>
    <cfRule type="cellIs" priority="219" operator="equal" dxfId="2">
      <formula>"G"</formula>
    </cfRule>
  </conditionalFormatting>
  <conditionalFormatting sqref="C95">
    <cfRule type="cellIs" priority="220" operator="equal" dxfId="0">
      <formula>"R"</formula>
    </cfRule>
    <cfRule type="cellIs" priority="221" operator="equal" dxfId="1">
      <formula>"A"</formula>
    </cfRule>
    <cfRule type="cellIs" priority="222" operator="equal" dxfId="2">
      <formula>"G"</formula>
    </cfRule>
  </conditionalFormatting>
  <conditionalFormatting sqref="C96">
    <cfRule type="cellIs" priority="223" operator="equal" dxfId="0">
      <formula>"R"</formula>
    </cfRule>
    <cfRule type="cellIs" priority="224" operator="equal" dxfId="1">
      <formula>"A"</formula>
    </cfRule>
    <cfRule type="cellIs" priority="225" operator="equal" dxfId="2">
      <formula>"G"</formula>
    </cfRule>
  </conditionalFormatting>
  <conditionalFormatting sqref="C98">
    <cfRule type="cellIs" priority="226" operator="equal" dxfId="0">
      <formula>"R"</formula>
    </cfRule>
    <cfRule type="cellIs" priority="227" operator="equal" dxfId="1">
      <formula>"A"</formula>
    </cfRule>
    <cfRule type="cellIs" priority="228" operator="equal" dxfId="2">
      <formula>"G"</formula>
    </cfRule>
  </conditionalFormatting>
  <conditionalFormatting sqref="C99">
    <cfRule type="cellIs" priority="229" operator="equal" dxfId="0">
      <formula>"R"</formula>
    </cfRule>
    <cfRule type="cellIs" priority="230" operator="equal" dxfId="1">
      <formula>"A"</formula>
    </cfRule>
    <cfRule type="cellIs" priority="231" operator="equal" dxfId="2">
      <formula>"G"</formula>
    </cfRule>
  </conditionalFormatting>
  <conditionalFormatting sqref="C100">
    <cfRule type="cellIs" priority="232" operator="equal" dxfId="0">
      <formula>"R"</formula>
    </cfRule>
    <cfRule type="cellIs" priority="233" operator="equal" dxfId="1">
      <formula>"A"</formula>
    </cfRule>
    <cfRule type="cellIs" priority="234" operator="equal" dxfId="2">
      <formula>"G"</formula>
    </cfRule>
  </conditionalFormatting>
  <conditionalFormatting sqref="C102">
    <cfRule type="cellIs" priority="235" operator="equal" dxfId="0">
      <formula>"R"</formula>
    </cfRule>
    <cfRule type="cellIs" priority="236" operator="equal" dxfId="1">
      <formula>"A"</formula>
    </cfRule>
    <cfRule type="cellIs" priority="237" operator="equal" dxfId="2">
      <formula>"G"</formula>
    </cfRule>
  </conditionalFormatting>
  <conditionalFormatting sqref="C103">
    <cfRule type="cellIs" priority="238" operator="equal" dxfId="0">
      <formula>"R"</formula>
    </cfRule>
    <cfRule type="cellIs" priority="239" operator="equal" dxfId="1">
      <formula>"A"</formula>
    </cfRule>
    <cfRule type="cellIs" priority="240" operator="equal" dxfId="2">
      <formula>"G"</formula>
    </cfRule>
  </conditionalFormatting>
  <conditionalFormatting sqref="C104">
    <cfRule type="cellIs" priority="241" operator="equal" dxfId="0">
      <formula>"R"</formula>
    </cfRule>
    <cfRule type="cellIs" priority="242" operator="equal" dxfId="1">
      <formula>"A"</formula>
    </cfRule>
    <cfRule type="cellIs" priority="243" operator="equal" dxfId="2">
      <formula>"G"</formula>
    </cfRule>
  </conditionalFormatting>
  <conditionalFormatting sqref="C106">
    <cfRule type="cellIs" priority="244" operator="equal" dxfId="0">
      <formula>"R"</formula>
    </cfRule>
    <cfRule type="cellIs" priority="245" operator="equal" dxfId="1">
      <formula>"A"</formula>
    </cfRule>
    <cfRule type="cellIs" priority="246" operator="equal" dxfId="2">
      <formula>"G"</formula>
    </cfRule>
  </conditionalFormatting>
  <conditionalFormatting sqref="C107">
    <cfRule type="cellIs" priority="247" operator="equal" dxfId="0">
      <formula>"R"</formula>
    </cfRule>
    <cfRule type="cellIs" priority="248" operator="equal" dxfId="1">
      <formula>"A"</formula>
    </cfRule>
    <cfRule type="cellIs" priority="249" operator="equal" dxfId="2">
      <formula>"G"</formula>
    </cfRule>
  </conditionalFormatting>
  <conditionalFormatting sqref="C108">
    <cfRule type="cellIs" priority="250" operator="equal" dxfId="0">
      <formula>"R"</formula>
    </cfRule>
    <cfRule type="cellIs" priority="251" operator="equal" dxfId="1">
      <formula>"A"</formula>
    </cfRule>
    <cfRule type="cellIs" priority="252" operator="equal" dxfId="2">
      <formula>"G"</formula>
    </cfRule>
  </conditionalFormatting>
  <conditionalFormatting sqref="C110">
    <cfRule type="cellIs" priority="253" operator="equal" dxfId="0">
      <formula>"R"</formula>
    </cfRule>
    <cfRule type="cellIs" priority="254" operator="equal" dxfId="1">
      <formula>"A"</formula>
    </cfRule>
    <cfRule type="cellIs" priority="255" operator="equal" dxfId="2">
      <formula>"G"</formula>
    </cfRule>
  </conditionalFormatting>
  <conditionalFormatting sqref="C111">
    <cfRule type="cellIs" priority="256" operator="equal" dxfId="0">
      <formula>"R"</formula>
    </cfRule>
    <cfRule type="cellIs" priority="257" operator="equal" dxfId="1">
      <formula>"A"</formula>
    </cfRule>
    <cfRule type="cellIs" priority="258" operator="equal" dxfId="2">
      <formula>"G"</formula>
    </cfRule>
  </conditionalFormatting>
  <conditionalFormatting sqref="C112">
    <cfRule type="cellIs" priority="259" operator="equal" dxfId="0">
      <formula>"R"</formula>
    </cfRule>
    <cfRule type="cellIs" priority="260" operator="equal" dxfId="1">
      <formula>"A"</formula>
    </cfRule>
    <cfRule type="cellIs" priority="261" operator="equal" dxfId="2">
      <formula>"G"</formula>
    </cfRule>
  </conditionalFormatting>
  <dataValidations count="1">
    <dataValidation sqref="C3 C4 C5 C6 C8 C9 C10 C11 C13 C14 C15 C16 C18 C19 C20 C21 C23 C24 C25 C26 C28 C29 C30 C31 C33 C34 C35 C36 C38 C39 C40 C41 C43 C44 C45 C46 C48 C49 C50 C51 C53 C54 C55 C56 C58 C59 C60 C62 C63 C64 C66 C67 C68 C70 C71 C72 C74 C75 C76 C78 C79 C80 C81 C83 C84 C85 C86 C88 C89 C90 C91 C93 C94 C95 C96 C98 C99 C100 C102 C103 C104 C106 C107 C108 C110 C111 C112" showDropDown="0" showInputMessage="0" showErrorMessage="0" allowBlank="1" prompt="R = not yet, A = getting there, G = confident" type="list">
      <formula1>"R,A,G"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2026-07-07T07:11:38Z</dcterms:created>
  <dcterms:modified xmlns:dcterms="http://purl.org/dc/terms/" xmlns:xsi="http://www.w3.org/2001/XMLSchema-instance" xsi:type="dcterms:W3CDTF">2026-07-07T07:11:38Z</dcterms:modified>
</cp:coreProperties>
</file>