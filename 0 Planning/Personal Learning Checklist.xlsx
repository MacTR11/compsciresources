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hecklist"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font>
    <font>
      <b val="1"/>
      <i val="1"/>
    </font>
  </fonts>
  <fills count="4">
    <fill>
      <patternFill/>
    </fill>
    <fill>
      <patternFill patternType="gray125"/>
    </fill>
    <fill>
      <patternFill patternType="solid">
        <fgColor rgb="001A365D"/>
      </patternFill>
    </fill>
    <fill>
      <patternFill patternType="solid">
        <fgColor rgb="002B6CB0"/>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8">
    <xf numFmtId="0" fontId="0" fillId="0" borderId="0" pivotButton="0" quotePrefix="0" xfId="0"/>
    <xf numFmtId="0" fontId="1" fillId="2" borderId="0" applyAlignment="1" pivotButton="0" quotePrefix="0" xfId="0">
      <alignment horizontal="center" vertical="center"/>
    </xf>
    <xf numFmtId="0" fontId="1" fillId="3" borderId="1" applyAlignment="1" pivotButton="0" quotePrefix="0" xfId="0">
      <alignment vertical="center" wrapText="1"/>
    </xf>
    <xf numFmtId="0" fontId="1" fillId="3" borderId="1" applyAlignment="1" pivotButton="0" quotePrefix="0" xfId="0">
      <alignment horizontal="center" vertical="center"/>
    </xf>
    <xf numFmtId="0" fontId="0" fillId="0" borderId="1" applyAlignment="1" pivotButton="0" quotePrefix="0" xfId="0">
      <alignment vertical="center" wrapText="1"/>
    </xf>
    <xf numFmtId="0" fontId="0" fillId="0" borderId="1" applyAlignment="1" pivotButton="0" quotePrefix="0" xfId="0">
      <alignment horizontal="center" vertical="center"/>
    </xf>
    <xf numFmtId="0" fontId="2" fillId="0" borderId="0" pivotButton="0" quotePrefix="0" xfId="0"/>
    <xf numFmtId="0" fontId="3" fillId="0" borderId="0" pivotButton="0" quotePrefix="0" xfId="0"/>
  </cellXfs>
  <cellStyles count="1">
    <cellStyle name="Normal" xfId="0" builtinId="0" hidden="0"/>
  </cellStyles>
  <dxfs count="3">
    <dxf>
      <font>
        <b val="1"/>
        <color rgb="00990000"/>
      </font>
      <fill>
        <patternFill patternType="solid">
          <fgColor rgb="00F4CCCC"/>
        </patternFill>
      </fill>
    </dxf>
    <dxf>
      <font>
        <b val="1"/>
        <color rgb="00996600"/>
      </font>
      <fill>
        <patternFill patternType="solid">
          <fgColor rgb="00FCE5CD"/>
        </patternFill>
      </fill>
    </dxf>
    <dxf>
      <font>
        <b val="1"/>
        <color rgb="00006600"/>
      </font>
      <fill>
        <patternFill patternType="solid">
          <fgColor rgb="00D9EAD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122"/>
  <sheetViews>
    <sheetView workbookViewId="0">
      <pane ySplit="1" topLeftCell="A2" activePane="bottomLeft" state="frozen"/>
      <selection pane="bottomLeft" activeCell="A1" sqref="A1"/>
    </sheetView>
  </sheetViews>
  <sheetFormatPr baseColWidth="8" defaultRowHeight="15"/>
  <cols>
    <col width="9" customWidth="1" min="1" max="1"/>
    <col width="78" customWidth="1" min="2" max="2"/>
    <col width="7" customWidth="1" min="3" max="3"/>
    <col width="12" customWidth="1" min="4" max="4"/>
    <col width="34" customWidth="1" min="5" max="5"/>
  </cols>
  <sheetData>
    <row r="1">
      <c r="A1" s="1" t="inlineStr">
        <is>
          <t>Spec</t>
        </is>
      </c>
      <c r="B1" s="1" t="inlineStr">
        <is>
          <t>I can…  (tick your confidence)</t>
        </is>
      </c>
      <c r="C1" s="1" t="inlineStr">
        <is>
          <t>RAG</t>
        </is>
      </c>
      <c r="D1" s="1" t="inlineStr">
        <is>
          <t>Date</t>
        </is>
      </c>
      <c r="E1" s="1" t="inlineStr">
        <is>
          <t>Notes / evidence</t>
        </is>
      </c>
    </row>
    <row r="2">
      <c r="A2" s="2" t="inlineStr">
        <is>
          <t>1.1.1</t>
        </is>
      </c>
      <c r="B2" s="2" t="inlineStr">
        <is>
          <t>Structure and Function of the Processor</t>
        </is>
      </c>
      <c r="C2" s="3" t="inlineStr"/>
      <c r="D2" s="2" t="inlineStr"/>
      <c r="E2" s="2" t="inlineStr"/>
    </row>
    <row r="3">
      <c r="A3" s="4" t="inlineStr"/>
      <c r="B3" s="4" t="inlineStr">
        <is>
          <t>I can describe the roles of the ALU, Control Unit and the registers PC, MAR, MDR, CIR and ACC</t>
        </is>
      </c>
      <c r="C3" s="5" t="inlineStr"/>
      <c r="D3" s="4" t="inlineStr"/>
      <c r="E3" s="4" t="inlineStr"/>
    </row>
    <row r="4">
      <c r="A4" s="4" t="inlineStr"/>
      <c r="B4" s="4" t="inlineStr">
        <is>
          <t>I can trace the fetch-decode-execute cycle, naming every register transfer and bus involved</t>
        </is>
      </c>
      <c r="C4" s="5" t="inlineStr"/>
      <c r="D4" s="4" t="inlineStr"/>
      <c r="E4" s="4" t="inlineStr"/>
    </row>
    <row r="5">
      <c r="A5" s="4" t="inlineStr"/>
      <c r="B5" s="4" t="inlineStr">
        <is>
          <t>I can explain how clock speed, cores, cache and pipelining affect CPU performance, with caveats</t>
        </is>
      </c>
      <c r="C5" s="5" t="inlineStr"/>
      <c r="D5" s="4" t="inlineStr"/>
      <c r="E5" s="4" t="inlineStr"/>
    </row>
    <row r="6">
      <c r="A6" s="4" t="inlineStr"/>
      <c r="B6" s="4" t="inlineStr">
        <is>
          <t>I can compare Von Neumann, Harvard and contemporary (modified Harvard) architectures with distinct differences</t>
        </is>
      </c>
      <c r="C6" s="5" t="inlineStr"/>
      <c r="D6" s="4" t="inlineStr"/>
      <c r="E6" s="4" t="inlineStr"/>
    </row>
    <row r="7">
      <c r="A7" s="2" t="inlineStr">
        <is>
          <t>1.1.2</t>
        </is>
      </c>
      <c r="B7" s="2" t="inlineStr">
        <is>
          <t>Types of Processor</t>
        </is>
      </c>
      <c r="C7" s="3" t="inlineStr"/>
      <c r="D7" s="2" t="inlineStr"/>
      <c r="E7" s="2" t="inlineStr"/>
    </row>
    <row r="8">
      <c r="A8" s="4" t="inlineStr"/>
      <c r="B8" s="4" t="inlineStr">
        <is>
          <t>I can give distinct differences between CISC and RISC processors and link each to a typical use</t>
        </is>
      </c>
      <c r="C8" s="5" t="inlineStr"/>
      <c r="D8" s="4" t="inlineStr"/>
      <c r="E8" s="4" t="inlineStr"/>
    </row>
    <row r="9">
      <c r="A9" s="4" t="inlineStr"/>
      <c r="B9" s="4" t="inlineStr">
        <is>
          <t>I can explain how a GPU achieves high performance and identify workloads suited to GPUs, including GPGPU uses</t>
        </is>
      </c>
      <c r="C9" s="5" t="inlineStr"/>
      <c r="D9" s="4" t="inlineStr"/>
      <c r="E9" s="4" t="inlineStr"/>
    </row>
    <row r="10">
      <c r="A10" s="4" t="inlineStr"/>
      <c r="B10" s="4" t="inlineStr">
        <is>
          <t>I can describe multicore and parallel systems and explain what limits the benefit of adding cores</t>
        </is>
      </c>
      <c r="C10" s="5" t="inlineStr"/>
      <c r="D10" s="4" t="inlineStr"/>
      <c r="E10" s="4" t="inlineStr"/>
    </row>
    <row r="11">
      <c r="A11" s="4" t="inlineStr"/>
      <c r="B11" s="4" t="inlineStr">
        <is>
          <t>I can justify a choice of processor type for a given scenario using hardware features</t>
        </is>
      </c>
      <c r="C11" s="5" t="inlineStr"/>
      <c r="D11" s="4" t="inlineStr"/>
      <c r="E11" s="4" t="inlineStr"/>
    </row>
    <row r="12">
      <c r="A12" s="2" t="inlineStr">
        <is>
          <t>1.1.3</t>
        </is>
      </c>
      <c r="B12" s="2" t="inlineStr">
        <is>
          <t>Input, Output and Storage Devices</t>
        </is>
      </c>
      <c r="C12" s="3" t="inlineStr"/>
      <c r="D12" s="2" t="inlineStr"/>
      <c r="E12" s="2" t="inlineStr"/>
    </row>
    <row r="13">
      <c r="A13" s="4" t="inlineStr"/>
      <c r="B13" s="4" t="inlineStr">
        <is>
          <t>I can justify a choice of input or output device for a given scenario, linking characteristics to requirements</t>
        </is>
      </c>
      <c r="C13" s="5" t="inlineStr"/>
      <c r="D13" s="4" t="inlineStr"/>
      <c r="E13" s="4" t="inlineStr"/>
    </row>
    <row r="14">
      <c r="A14" s="4" t="inlineStr"/>
      <c r="B14" s="4" t="inlineStr">
        <is>
          <t>I can describe how magnetic, flash and optical storage work and compare their suitability for different uses</t>
        </is>
      </c>
      <c r="C14" s="5" t="inlineStr"/>
      <c r="D14" s="4" t="inlineStr"/>
      <c r="E14" s="4" t="inlineStr"/>
    </row>
    <row r="15">
      <c r="A15" s="4" t="inlineStr"/>
      <c r="B15" s="4" t="inlineStr">
        <is>
          <t>I can explain the differences between RAM and ROM, including volatility and their contents</t>
        </is>
      </c>
      <c r="C15" s="5" t="inlineStr"/>
      <c r="D15" s="4" t="inlineStr"/>
      <c r="E15" s="4" t="inlineStr"/>
    </row>
    <row r="16">
      <c r="A16" s="4" t="inlineStr"/>
      <c r="B16" s="4" t="inlineStr">
        <is>
          <t>I can explain virtual storage, distinguishing virtual memory from virtual (cloud) storage</t>
        </is>
      </c>
      <c r="C16" s="5" t="inlineStr"/>
      <c r="D16" s="4" t="inlineStr"/>
      <c r="E16" s="4" t="inlineStr"/>
    </row>
    <row r="17">
      <c r="A17" s="2" t="inlineStr">
        <is>
          <t>1.2.1</t>
        </is>
      </c>
      <c r="B17" s="2" t="inlineStr">
        <is>
          <t>Operating Systems (part 1)</t>
        </is>
      </c>
      <c r="C17" s="3" t="inlineStr"/>
      <c r="D17" s="2" t="inlineStr"/>
      <c r="E17" s="2" t="inlineStr"/>
    </row>
    <row r="18">
      <c r="A18" s="4" t="inlineStr"/>
      <c r="B18" s="4" t="inlineStr">
        <is>
          <t>I can describe the purpose of an operating system and the resources it manages.</t>
        </is>
      </c>
      <c r="C18" s="5" t="inlineStr"/>
      <c r="D18" s="4" t="inlineStr"/>
      <c r="E18" s="4" t="inlineStr"/>
    </row>
    <row r="19">
      <c r="A19" s="4" t="inlineStr"/>
      <c r="B19" s="4" t="inlineStr">
        <is>
          <t>I can explain memory management using paging, segmentation and virtual memory, including their drawbacks.</t>
        </is>
      </c>
      <c r="C19" s="5" t="inlineStr"/>
      <c r="D19" s="4" t="inlineStr"/>
      <c r="E19" s="4" t="inlineStr"/>
    </row>
    <row r="20">
      <c r="A20" s="4" t="inlineStr"/>
      <c r="B20" s="4" t="inlineStr">
        <is>
          <t>I can describe the full sequence the OS follows when servicing an interrupt, including the role of the stack.</t>
        </is>
      </c>
      <c r="C20" s="5" t="inlineStr"/>
      <c r="D20" s="4" t="inlineStr"/>
      <c r="E20" s="4" t="inlineStr"/>
    </row>
    <row r="21">
      <c r="A21" s="4" t="inlineStr"/>
      <c r="B21" s="4" t="inlineStr">
        <is>
          <t>I can compare round robin, FIFO, shortest job first, shortest remaining time and multilevel feedback queue scheduling.</t>
        </is>
      </c>
      <c r="C21" s="5" t="inlineStr"/>
      <c r="D21" s="4" t="inlineStr"/>
      <c r="E21" s="4" t="inlineStr"/>
    </row>
    <row r="22">
      <c r="A22" s="2" t="inlineStr">
        <is>
          <t>1.2.2</t>
        </is>
      </c>
      <c r="B22" s="2" t="inlineStr">
        <is>
          <t>Applications Generation</t>
        </is>
      </c>
      <c r="C22" s="3" t="inlineStr"/>
      <c r="D22" s="2" t="inlineStr"/>
      <c r="E22" s="2" t="inlineStr"/>
    </row>
    <row r="23">
      <c r="A23" s="4" t="inlineStr"/>
      <c r="B23" s="4" t="inlineStr">
        <is>
          <t>I can distinguish applications, systems software and utilities, and compare open and closed source software.</t>
        </is>
      </c>
      <c r="C23" s="5" t="inlineStr"/>
      <c r="D23" s="4" t="inlineStr"/>
      <c r="E23" s="4" t="inlineStr"/>
    </row>
    <row r="24">
      <c r="A24" s="4" t="inlineStr"/>
      <c r="B24" s="4" t="inlineStr">
        <is>
          <t>I can compare assemblers, compilers and interpreters and choose the right translator for a scenario.</t>
        </is>
      </c>
      <c r="C24" s="5" t="inlineStr"/>
      <c r="D24" s="4" t="inlineStr"/>
      <c r="E24" s="4" t="inlineStr"/>
    </row>
    <row r="25">
      <c r="A25" s="4" t="inlineStr"/>
      <c r="B25" s="4" t="inlineStr">
        <is>
          <t>I can describe the four stages of compilation, in order, with what each produces.</t>
        </is>
      </c>
      <c r="C25" s="5" t="inlineStr"/>
      <c r="D25" s="4" t="inlineStr"/>
      <c r="E25" s="4" t="inlineStr"/>
    </row>
    <row r="26">
      <c r="A26" s="4" t="inlineStr"/>
      <c r="B26" s="4" t="inlineStr">
        <is>
          <t>I can explain the roles of libraries, linkers and loaders, including static versus dynamic linking.</t>
        </is>
      </c>
      <c r="C26" s="5" t="inlineStr"/>
      <c r="D26" s="4" t="inlineStr"/>
      <c r="E26" s="4" t="inlineStr"/>
    </row>
    <row r="27">
      <c r="A27" s="2" t="inlineStr">
        <is>
          <t>1.2.3</t>
        </is>
      </c>
      <c r="B27" s="2" t="inlineStr">
        <is>
          <t>Software Development</t>
        </is>
      </c>
      <c r="C27" s="3" t="inlineStr"/>
      <c r="D27" s="2" t="inlineStr"/>
      <c r="E27" s="2" t="inlineStr"/>
    </row>
    <row r="28">
      <c r="A28" s="4" t="inlineStr"/>
      <c r="B28" s="4" t="inlineStr">
        <is>
          <t>Describe the stages of the software development lifecycle and the outputs of each stage.</t>
        </is>
      </c>
      <c r="C28" s="5" t="inlineStr"/>
      <c r="D28" s="4" t="inlineStr"/>
      <c r="E28" s="4" t="inlineStr"/>
    </row>
    <row r="29">
      <c r="A29" s="4" t="inlineStr"/>
      <c r="B29" s="4" t="inlineStr">
        <is>
          <t>Compare the merits and drawbacks of Waterfall, Agile, Extreme Programming, Spiral and RAD.</t>
        </is>
      </c>
      <c r="C29" s="5" t="inlineStr"/>
      <c r="D29" s="4" t="inlineStr"/>
      <c r="E29" s="4" t="inlineStr"/>
    </row>
    <row r="30">
      <c r="A30" s="4" t="inlineStr"/>
      <c r="B30" s="4" t="inlineStr">
        <is>
          <t>Select and justify a methodology for a given scenario using explicit scenario clues.</t>
        </is>
      </c>
      <c r="C30" s="5" t="inlineStr"/>
      <c r="D30" s="4" t="inlineStr"/>
      <c r="E30" s="4" t="inlineStr"/>
    </row>
    <row r="31">
      <c r="A31" s="4" t="inlineStr"/>
      <c r="B31" s="4" t="inlineStr">
        <is>
          <t>Write and follow algorithms, and design test data using normal, boundary and erroneous values.</t>
        </is>
      </c>
      <c r="C31" s="5" t="inlineStr"/>
      <c r="D31" s="4" t="inlineStr"/>
      <c r="E31" s="4" t="inlineStr"/>
    </row>
    <row r="32">
      <c r="A32" s="2" t="inlineStr">
        <is>
          <t>1.2.4</t>
        </is>
      </c>
      <c r="B32" s="2" t="inlineStr">
        <is>
          <t>Types of Programming Language</t>
        </is>
      </c>
      <c r="C32" s="3" t="inlineStr"/>
      <c r="D32" s="2" t="inlineStr"/>
      <c r="E32" s="2" t="inlineStr"/>
    </row>
    <row r="33">
      <c r="A33" s="4" t="inlineStr"/>
      <c r="B33" s="4" t="inlineStr">
        <is>
          <t>Explain the need for programming paradigms and characterise procedural and object-oriented programming.</t>
        </is>
      </c>
      <c r="C33" s="5" t="inlineStr"/>
      <c r="D33" s="4" t="inlineStr"/>
      <c r="E33" s="4" t="inlineStr"/>
    </row>
    <row r="34">
      <c r="A34" s="4" t="inlineStr"/>
      <c r="B34" s="4" t="inlineStr">
        <is>
          <t>Write and trace short Little Man Computer programs using the standard instruction set.</t>
        </is>
      </c>
      <c r="C34" s="5" t="inlineStr"/>
      <c r="D34" s="4" t="inlineStr"/>
      <c r="E34" s="4" t="inlineStr"/>
    </row>
    <row r="35">
      <c r="A35" s="4" t="inlineStr"/>
      <c r="B35" s="4" t="inlineStr">
        <is>
          <t>Determine the value used by an instruction under immediate, direct, indirect and indexed addressing.</t>
        </is>
      </c>
      <c r="C35" s="5" t="inlineStr"/>
      <c r="D35" s="4" t="inlineStr"/>
      <c r="E35" s="4" t="inlineStr"/>
    </row>
    <row r="36">
      <c r="A36" s="4" t="inlineStr"/>
      <c r="B36" s="4" t="inlineStr">
        <is>
          <t>Define and apply class, object, method, attribute, inheritance, encapsulation and polymorphism.</t>
        </is>
      </c>
      <c r="C36" s="5" t="inlineStr"/>
      <c r="D36" s="4" t="inlineStr"/>
      <c r="E36" s="4" t="inlineStr"/>
    </row>
    <row r="37">
      <c r="A37" s="2" t="inlineStr">
        <is>
          <t>1.3.1</t>
        </is>
      </c>
      <c r="B37" s="2" t="inlineStr">
        <is>
          <t>Compression, Encryption and Hashing</t>
        </is>
      </c>
      <c r="C37" s="3" t="inlineStr"/>
      <c r="D37" s="2" t="inlineStr"/>
      <c r="E37" s="2" t="inlineStr"/>
    </row>
    <row r="38">
      <c r="A38" s="4" t="inlineStr"/>
      <c r="B38" s="4" t="inlineStr">
        <is>
          <t>Explain why files are compressed and compare lossy with lossless compression for given scenarios.</t>
        </is>
      </c>
      <c r="C38" s="5" t="inlineStr"/>
      <c r="D38" s="4" t="inlineStr"/>
      <c r="E38" s="4" t="inlineStr"/>
    </row>
    <row r="39">
      <c r="A39" s="4" t="inlineStr"/>
      <c r="B39" s="4" t="inlineStr">
        <is>
          <t>Encode and decode data using run length encoding and dictionary coding, and evaluate the saving.</t>
        </is>
      </c>
      <c r="C39" s="5" t="inlineStr"/>
      <c r="D39" s="4" t="inlineStr"/>
      <c r="E39" s="4" t="inlineStr"/>
    </row>
    <row r="40">
      <c r="A40" s="4" t="inlineStr"/>
      <c r="B40" s="4" t="inlineStr">
        <is>
          <t>Compare symmetric and asymmetric encryption, including keys, speed and the key distribution problem.</t>
        </is>
      </c>
      <c r="C40" s="5" t="inlineStr"/>
      <c r="D40" s="4" t="inlineStr"/>
      <c r="E40" s="4" t="inlineStr"/>
    </row>
    <row r="41">
      <c r="A41" s="4" t="inlineStr"/>
      <c r="B41" s="4" t="inlineStr">
        <is>
          <t>Describe the properties of hashing and justify its use for passwords and fast lookup.</t>
        </is>
      </c>
      <c r="C41" s="5" t="inlineStr"/>
      <c r="D41" s="4" t="inlineStr"/>
      <c r="E41" s="4" t="inlineStr"/>
    </row>
    <row r="42">
      <c r="A42" s="2" t="inlineStr">
        <is>
          <t>1.3.2</t>
        </is>
      </c>
      <c r="B42" s="2" t="inlineStr">
        <is>
          <t>Databases</t>
        </is>
      </c>
      <c r="C42" s="3" t="inlineStr"/>
      <c r="D42" s="2" t="inlineStr"/>
      <c r="E42" s="2" t="inlineStr"/>
    </row>
    <row r="43">
      <c r="A43" s="4" t="inlineStr"/>
      <c r="B43" s="4" t="inlineStr">
        <is>
          <t>I can define entity, attribute and record, and compare flat file and relational databases.</t>
        </is>
      </c>
      <c r="C43" s="5" t="inlineStr"/>
      <c r="D43" s="4" t="inlineStr"/>
      <c r="E43" s="4" t="inlineStr"/>
    </row>
    <row r="44">
      <c r="A44" s="4" t="inlineStr"/>
      <c r="B44" s="4" t="inlineStr">
        <is>
          <t>I can identify primary, foreign, composite and secondary keys and draw ER diagrams, resolving many-to-many relationships.</t>
        </is>
      </c>
      <c r="C44" s="5" t="inlineStr"/>
      <c r="D44" s="4" t="inlineStr"/>
      <c r="E44" s="4" t="inlineStr"/>
    </row>
    <row r="45">
      <c r="A45" s="4" t="inlineStr"/>
      <c r="B45" s="4" t="inlineStr">
        <is>
          <t>I can normalise a table to 3NF, naming the dependency removed at each stage.</t>
        </is>
      </c>
      <c r="C45" s="5" t="inlineStr"/>
      <c r="D45" s="4" t="inlineStr"/>
      <c r="E45" s="4" t="inlineStr"/>
    </row>
    <row r="46">
      <c r="A46" s="4" t="inlineStr"/>
      <c r="B46" s="4" t="inlineStr">
        <is>
          <t>I can write and interpret SQL, and explain referential integrity, transactions, ACID and record locking.</t>
        </is>
      </c>
      <c r="C46" s="5" t="inlineStr"/>
      <c r="D46" s="4" t="inlineStr"/>
      <c r="E46" s="4" t="inlineStr"/>
    </row>
    <row r="47">
      <c r="A47" s="2" t="inlineStr">
        <is>
          <t>1.3.3</t>
        </is>
      </c>
      <c r="B47" s="2" t="inlineStr">
        <is>
          <t>Networks</t>
        </is>
      </c>
      <c r="C47" s="3" t="inlineStr"/>
      <c r="D47" s="2" t="inlineStr"/>
      <c r="E47" s="2" t="inlineStr"/>
    </row>
    <row r="48">
      <c r="A48" s="4" t="inlineStr"/>
      <c r="B48" s="4" t="inlineStr">
        <is>
          <t>I can compare LANs and WANs, and client-server and peer-to-peer models, with examples and trade-offs.</t>
        </is>
      </c>
      <c r="C48" s="5" t="inlineStr"/>
      <c r="D48" s="4" t="inlineStr"/>
      <c r="E48" s="4" t="inlineStr"/>
    </row>
    <row r="49">
      <c r="A49" s="4" t="inlineStr"/>
      <c r="B49" s="4" t="inlineStr">
        <is>
          <t>I can explain the purpose of protocols and standards and describe the role of each TCP/IP layer, including encapsulation.</t>
        </is>
      </c>
      <c r="C49" s="5" t="inlineStr"/>
      <c r="D49" s="4" t="inlineStr"/>
      <c r="E49" s="4" t="inlineStr"/>
    </row>
    <row r="50">
      <c r="A50" s="4" t="inlineStr"/>
      <c r="B50" s="4" t="inlineStr">
        <is>
          <t>I can describe how DNS resolves a domain name to an IP address, including the hierarchy and caching.</t>
        </is>
      </c>
      <c r="C50" s="5" t="inlineStr"/>
      <c r="D50" s="4" t="inlineStr"/>
      <c r="E50" s="4" t="inlineStr"/>
    </row>
    <row r="51">
      <c r="A51" s="4" t="inlineStr"/>
      <c r="B51" s="4" t="inlineStr">
        <is>
          <t>I can compare packet and circuit switching and state the function of key network hardware.</t>
        </is>
      </c>
      <c r="C51" s="5" t="inlineStr"/>
      <c r="D51" s="4" t="inlineStr"/>
      <c r="E51" s="4" t="inlineStr"/>
    </row>
    <row r="52">
      <c r="A52" s="2" t="inlineStr">
        <is>
          <t>1.3.4</t>
        </is>
      </c>
      <c r="B52" s="2" t="inlineStr">
        <is>
          <t>Web Technologies (part 1)</t>
        </is>
      </c>
      <c r="C52" s="3" t="inlineStr"/>
      <c r="D52" s="2" t="inlineStr"/>
      <c r="E52" s="2" t="inlineStr"/>
    </row>
    <row r="53">
      <c r="A53" s="4" t="inlineStr"/>
      <c r="B53" s="4" t="inlineStr">
        <is>
          <t>I can describe how a browser requests a page from a web server and the roles of HTML, CSS and JavaScript.</t>
        </is>
      </c>
      <c r="C53" s="5" t="inlineStr"/>
      <c r="D53" s="4" t="inlineStr"/>
      <c r="E53" s="4" t="inlineStr"/>
    </row>
    <row r="54">
      <c r="A54" s="4" t="inlineStr"/>
      <c r="B54" s="4" t="inlineStr">
        <is>
          <t>I can write and interpret HTML using the tags and attributes OCR names, correctly nested.</t>
        </is>
      </c>
      <c r="C54" s="5" t="inlineStr"/>
      <c r="D54" s="4" t="inlineStr"/>
      <c r="E54" s="4" t="inlineStr"/>
    </row>
    <row r="55">
      <c r="A55" s="4" t="inlineStr"/>
      <c r="B55" s="4" t="inlineStr">
        <is>
          <t>I can style a page with CSS element, class and id selectors placed inline, internally or in an external stylesheet.</t>
        </is>
      </c>
      <c r="C55" s="5" t="inlineStr"/>
      <c r="D55" s="4" t="inlineStr"/>
      <c r="E55" s="4" t="inlineStr"/>
    </row>
    <row r="56">
      <c r="A56" s="4" t="inlineStr"/>
      <c r="B56" s="4" t="inlineStr">
        <is>
          <t>I can write simple JavaScript including form validation, and compare client-side with server-side processing.</t>
        </is>
      </c>
      <c r="C56" s="5" t="inlineStr"/>
      <c r="D56" s="4" t="inlineStr"/>
      <c r="E56" s="4" t="inlineStr"/>
    </row>
    <row r="57">
      <c r="A57" s="2" t="inlineStr">
        <is>
          <t>1.4.1</t>
        </is>
      </c>
      <c r="B57" s="2" t="inlineStr">
        <is>
          <t>Data Types (part 1)</t>
        </is>
      </c>
      <c r="C57" s="3" t="inlineStr"/>
      <c r="D57" s="2" t="inlineStr"/>
      <c r="E57" s="2" t="inlineStr"/>
    </row>
    <row r="58">
      <c r="A58" s="4" t="inlineStr"/>
      <c r="B58" s="4" t="inlineStr">
        <is>
          <t>I can choose and justify the correct primitive data type (integer, real, char, string, Boolean) for given data.</t>
        </is>
      </c>
      <c r="C58" s="5" t="inlineStr"/>
      <c r="D58" s="4" t="inlineStr"/>
      <c r="E58" s="4" t="inlineStr"/>
    </row>
    <row r="59">
      <c r="A59" s="4" t="inlineStr"/>
      <c r="B59" s="4" t="inlineStr">
        <is>
          <t>I can convert between denary, binary and hexadecimal in all six directions, showing my working.</t>
        </is>
      </c>
      <c r="C59" s="5" t="inlineStr"/>
      <c r="D59" s="4" t="inlineStr"/>
      <c r="E59" s="4" t="inlineStr"/>
    </row>
    <row r="60">
      <c r="A60" s="4" t="inlineStr"/>
      <c r="B60" s="4" t="inlineStr">
        <is>
          <t>I can add binary numbers, carry correctly, and recognise when overflow has occurred.</t>
        </is>
      </c>
      <c r="C60" s="5" t="inlineStr"/>
      <c r="D60" s="4" t="inlineStr"/>
      <c r="E60" s="4" t="inlineStr"/>
    </row>
    <row r="61">
      <c r="A61" s="4" t="inlineStr"/>
      <c r="B61" s="4" t="inlineStr">
        <is>
          <t>I can represent negative integers in sign and magnitude and two's complement, and subtract by adding a two's complement.</t>
        </is>
      </c>
      <c r="C61" s="5" t="inlineStr"/>
      <c r="D61" s="4" t="inlineStr"/>
      <c r="E61" s="4" t="inlineStr"/>
    </row>
    <row r="62">
      <c r="A62" s="2" t="inlineStr">
        <is>
          <t>1.4.2</t>
        </is>
      </c>
      <c r="B62" s="2" t="inlineStr">
        <is>
          <t>Data Structures (part 1)</t>
        </is>
      </c>
      <c r="C62" s="3" t="inlineStr"/>
      <c r="D62" s="2" t="inlineStr"/>
      <c r="E62" s="2" t="inlineStr"/>
    </row>
    <row r="63">
      <c r="A63" s="4" t="inlineStr"/>
      <c r="B63" s="4" t="inlineStr">
        <is>
          <t>I can describe arrays (1D, 2D and 3D), records, lists and tuples, and choose the right one for given data.</t>
        </is>
      </c>
      <c r="C63" s="5" t="inlineStr"/>
      <c r="D63" s="4" t="inlineStr"/>
      <c r="E63" s="4" t="inlineStr"/>
    </row>
    <row r="64">
      <c r="A64" s="4" t="inlineStr"/>
      <c r="B64" s="4" t="inlineStr">
        <is>
          <t>I can use index arithmetic to locate an element in a 1D or 2D array.</t>
        </is>
      </c>
      <c r="C64" s="5" t="inlineStr"/>
      <c r="D64" s="4" t="inlineStr"/>
      <c r="E64" s="4" t="inlineStr"/>
    </row>
    <row r="65">
      <c r="A65" s="4" t="inlineStr"/>
      <c r="B65" s="4" t="inlineStr">
        <is>
          <t>I can trace push, pop and peek on a stack using a stack pointer, and identify overflow and underflow.</t>
        </is>
      </c>
      <c r="C65" s="5" t="inlineStr"/>
      <c r="D65" s="4" t="inlineStr"/>
      <c r="E65" s="4" t="inlineStr"/>
    </row>
    <row r="66">
      <c r="A66" s="4" t="inlineStr"/>
      <c r="B66" s="4" t="inlineStr">
        <is>
          <t>I can trace enqueue and dequeue on linear and circular queues and explain why circular queues reuse space.</t>
        </is>
      </c>
      <c r="C66" s="5" t="inlineStr"/>
      <c r="D66" s="4" t="inlineStr"/>
      <c r="E66" s="4" t="inlineStr"/>
    </row>
    <row r="67">
      <c r="A67" s="2" t="inlineStr">
        <is>
          <t>1.4.3</t>
        </is>
      </c>
      <c r="B67" s="2" t="inlineStr">
        <is>
          <t>Boolean Algebra (part 1)</t>
        </is>
      </c>
      <c r="C67" s="3" t="inlineStr"/>
      <c r="D67" s="2" t="inlineStr"/>
      <c r="E67" s="2" t="inlineStr"/>
    </row>
    <row r="68">
      <c r="A68" s="4" t="inlineStr"/>
      <c r="B68" s="4" t="inlineStr">
        <is>
          <t>I can state the truth tables for AND, OR, NOT and XOR and recognise their circuit symbols.</t>
        </is>
      </c>
      <c r="C68" s="5" t="inlineStr"/>
      <c r="D68" s="4" t="inlineStr"/>
      <c r="E68" s="4" t="inlineStr"/>
    </row>
    <row r="69">
      <c r="A69" s="4" t="inlineStr"/>
      <c r="B69" s="4" t="inlineStr">
        <is>
          <t>I can combine gates into circuits and construct truth tables for 2- and 3-input expressions using working columns.</t>
        </is>
      </c>
      <c r="C69" s="5" t="inlineStr"/>
      <c r="D69" s="4" t="inlineStr"/>
      <c r="E69" s="4" t="inlineStr"/>
    </row>
    <row r="70">
      <c r="A70" s="4" t="inlineStr"/>
      <c r="B70" s="4" t="inlineStr">
        <is>
          <t>I can state and apply the Boolean identities: commutation, association, distribution, absorption and double negation.</t>
        </is>
      </c>
      <c r="C70" s="5" t="inlineStr"/>
      <c r="D70" s="4" t="inlineStr"/>
      <c r="E70" s="4" t="inlineStr"/>
    </row>
    <row r="71">
      <c r="A71" s="4" t="inlineStr"/>
      <c r="B71" s="4" t="inlineStr">
        <is>
          <t>I can apply De Morgan's laws and simplify Boolean expressions, naming the law used at each step.</t>
        </is>
      </c>
      <c r="C71" s="5" t="inlineStr"/>
      <c r="D71" s="4" t="inlineStr"/>
      <c r="E71" s="4" t="inlineStr"/>
    </row>
    <row r="72">
      <c r="A72" s="2" t="inlineStr">
        <is>
          <t>1.5.1</t>
        </is>
      </c>
      <c r="B72" s="2" t="inlineStr">
        <is>
          <t>Computing Related Legislation</t>
        </is>
      </c>
      <c r="C72" s="3" t="inlineStr"/>
      <c r="D72" s="2" t="inlineStr"/>
      <c r="E72" s="2" t="inlineStr"/>
    </row>
    <row r="73">
      <c r="A73" s="4" t="inlineStr"/>
      <c r="B73" s="4" t="inlineStr">
        <is>
          <t>Identify and describe the four key Acts: the Data Protection Act 1998/2018 (with GDPR), the Computer Misuse Act 1990, the Copyright, Designs &amp; Patents Act 1988 and the Regulation of Investigatory Powers Act 2000.</t>
        </is>
      </c>
      <c r="C73" s="5" t="inlineStr"/>
      <c r="D73" s="4" t="inlineStr"/>
      <c r="E73" s="4" t="inlineStr"/>
    </row>
    <row r="74">
      <c r="A74" s="4" t="inlineStr"/>
      <c r="B74" s="4" t="inlineStr">
        <is>
          <t>Select the correct law (and Computer Misuse Act offence) that applies to a given computing scenario, naming the responsible party.</t>
        </is>
      </c>
      <c r="C74" s="5" t="inlineStr"/>
      <c r="D74" s="4" t="inlineStr"/>
      <c r="E74" s="4" t="inlineStr"/>
    </row>
    <row r="75">
      <c r="A75" s="4" t="inlineStr"/>
      <c r="B75" s="4" t="inlineStr">
        <is>
          <t>Explain why more than one law can apply to a single scenario, distinguishing between the wrongdoing of each party involved.</t>
        </is>
      </c>
      <c r="C75" s="5" t="inlineStr"/>
      <c r="D75" s="4" t="inlineStr"/>
      <c r="E75" s="4" t="inlineStr"/>
    </row>
    <row r="76">
      <c r="A76" s="2" t="inlineStr">
        <is>
          <t>1.5.2</t>
        </is>
      </c>
      <c r="B76" s="2" t="inlineStr">
        <is>
          <t>Moral and Ethical Issues</t>
        </is>
      </c>
      <c r="C76" s="3" t="inlineStr"/>
      <c r="D76" s="2" t="inlineStr"/>
      <c r="E76" s="2" t="inlineStr"/>
    </row>
    <row r="77">
      <c r="A77" s="4" t="inlineStr"/>
      <c r="B77" s="4" t="inlineStr">
        <is>
          <t>Describe the key moral, ethical, cultural and social issues raised by computing, identifying both a benefit and a drawback for each.</t>
        </is>
      </c>
      <c r="C77" s="5" t="inlineStr"/>
      <c r="D77" s="4" t="inlineStr"/>
      <c r="E77" s="4" t="inlineStr"/>
    </row>
    <row r="78">
      <c r="A78" s="4" t="inlineStr"/>
      <c r="B78" s="4" t="inlineStr">
        <is>
          <t>Identify the stakeholders affected by a computing decision and explain how the same fact can benefit one group while harming another.</t>
        </is>
      </c>
      <c r="C78" s="5" t="inlineStr"/>
      <c r="D78" s="4" t="inlineStr"/>
      <c r="E78" s="4" t="inlineStr"/>
    </row>
    <row r="79">
      <c r="A79" s="4" t="inlineStr"/>
      <c r="B79" s="4" t="inlineStr">
        <is>
          <t>Structure a balanced levels-of-response 'discuss' answer that weighs both sides and reaches a justified conclusion.</t>
        </is>
      </c>
      <c r="C79" s="5" t="inlineStr"/>
      <c r="D79" s="4" t="inlineStr"/>
      <c r="E79" s="4" t="inlineStr"/>
    </row>
    <row r="80">
      <c r="A80" s="2" t="inlineStr">
        <is>
          <t>2.1.1</t>
        </is>
      </c>
      <c r="B80" s="2" t="inlineStr">
        <is>
          <t>Thinking Abstractly</t>
        </is>
      </c>
      <c r="C80" s="3" t="inlineStr"/>
      <c r="D80" s="2" t="inlineStr"/>
      <c r="E80" s="2" t="inlineStr"/>
    </row>
    <row r="81">
      <c r="A81" s="4" t="inlineStr"/>
      <c r="B81" s="4" t="inlineStr">
        <is>
          <t>I can explain the nature and need for abstraction: removing detail irrelevant to the problem</t>
        </is>
      </c>
      <c r="C81" s="5" t="inlineStr"/>
      <c r="D81" s="4" t="inlineStr"/>
      <c r="E81" s="4" t="inlineStr"/>
    </row>
    <row r="82">
      <c r="A82" s="4" t="inlineStr"/>
      <c r="B82" s="4" t="inlineStr">
        <is>
          <t>I can distinguish representational abstraction from generalisation, with a valid example of each</t>
        </is>
      </c>
      <c r="C82" s="5" t="inlineStr"/>
      <c r="D82" s="4" t="inlineStr"/>
      <c r="E82" s="4" t="inlineStr"/>
    </row>
    <row r="83">
      <c r="A83" s="4" t="inlineStr"/>
      <c r="B83" s="4" t="inlineStr">
        <is>
          <t>I can compare an abstraction with reality and justify which details are kept or discarded for a purpose</t>
        </is>
      </c>
      <c r="C83" s="5" t="inlineStr"/>
      <c r="D83" s="4" t="inlineStr"/>
      <c r="E83" s="4" t="inlineStr"/>
    </row>
    <row r="84">
      <c r="A84" s="4" t="inlineStr"/>
      <c r="B84" s="4" t="inlineStr">
        <is>
          <t>I can devise an abstract model for a given real-world scenario</t>
        </is>
      </c>
      <c r="C84" s="5" t="inlineStr"/>
      <c r="D84" s="4" t="inlineStr"/>
      <c r="E84" s="4" t="inlineStr"/>
    </row>
    <row r="85">
      <c r="A85" s="2" t="inlineStr">
        <is>
          <t>2.1.2</t>
        </is>
      </c>
      <c r="B85" s="2" t="inlineStr">
        <is>
          <t>Thinking Ahead</t>
        </is>
      </c>
      <c r="C85" s="3" t="inlineStr"/>
      <c r="D85" s="2" t="inlineStr"/>
      <c r="E85" s="2" t="inlineStr"/>
    </row>
    <row r="86">
      <c r="A86" s="4" t="inlineStr"/>
      <c r="B86" s="4" t="inlineStr">
        <is>
          <t>I can identify the inputs and outputs of a routine, distinguishing them from internal processes.</t>
        </is>
      </c>
      <c r="C86" s="5" t="inlineStr"/>
      <c r="D86" s="4" t="inlineStr"/>
      <c r="E86" s="4" t="inlineStr"/>
    </row>
    <row r="87">
      <c r="A87" s="4" t="inlineStr"/>
      <c r="B87" s="4" t="inlineStr">
        <is>
          <t>I can state preconditions for a routine and explain the consequences of not meeting them.</t>
        </is>
      </c>
      <c r="C87" s="5" t="inlineStr"/>
      <c r="D87" s="4" t="inlineStr"/>
      <c r="E87" s="4" t="inlineStr"/>
    </row>
    <row r="88">
      <c r="A88" s="4" t="inlineStr"/>
      <c r="B88" s="4" t="inlineStr">
        <is>
          <t>I can explain caching and prefetching, pairing each benefit with its trade-off.</t>
        </is>
      </c>
      <c r="C88" s="5" t="inlineStr"/>
      <c r="D88" s="4" t="inlineStr"/>
      <c r="E88" s="4" t="inlineStr"/>
    </row>
    <row r="89">
      <c r="A89" s="4" t="inlineStr"/>
      <c r="B89" s="4" t="inlineStr">
        <is>
          <t>I can justify the use of reusable program components in a given scenario.</t>
        </is>
      </c>
      <c r="C89" s="5" t="inlineStr"/>
      <c r="D89" s="4" t="inlineStr"/>
      <c r="E89" s="4" t="inlineStr"/>
    </row>
    <row r="90">
      <c r="A90" s="2" t="inlineStr">
        <is>
          <t>2.1.3</t>
        </is>
      </c>
      <c r="B90" s="2" t="inlineStr">
        <is>
          <t>Thinking Procedurally</t>
        </is>
      </c>
      <c r="C90" s="3" t="inlineStr"/>
      <c r="D90" s="2" t="inlineStr"/>
      <c r="E90" s="2" t="inlineStr"/>
    </row>
    <row r="91">
      <c r="A91" s="4" t="inlineStr"/>
      <c r="B91" s="4" t="inlineStr">
        <is>
          <t>Identify the components of a problem and decompose it into smaller sub-problems.</t>
        </is>
      </c>
      <c r="C91" s="5" t="inlineStr"/>
      <c r="D91" s="4" t="inlineStr"/>
      <c r="E91" s="4" t="inlineStr"/>
    </row>
    <row r="92">
      <c r="A92" s="4" t="inlineStr"/>
      <c r="B92" s="4" t="inlineStr">
        <is>
          <t>Identify the components of a solution as named sub-procedures, each doing one clear job.</t>
        </is>
      </c>
      <c r="C92" s="5" t="inlineStr"/>
      <c r="D92" s="4" t="inlineStr"/>
      <c r="E92" s="4" t="inlineStr"/>
    </row>
    <row r="93">
      <c r="A93" s="4" t="inlineStr"/>
      <c r="B93" s="4" t="inlineStr">
        <is>
          <t>Determine and justify the order of steps needed to solve a problem using data dependencies.</t>
        </is>
      </c>
      <c r="C93" s="5" t="inlineStr"/>
      <c r="D93" s="4" t="inlineStr"/>
      <c r="E93" s="4" t="inlineStr"/>
    </row>
    <row r="94">
      <c r="A94" s="4" t="inlineStr"/>
      <c r="B94" s="4" t="inlineStr">
        <is>
          <t>Explain the benefits of a modular, procedural solution for building, testing and maintenance.</t>
        </is>
      </c>
      <c r="C94" s="5" t="inlineStr"/>
      <c r="D94" s="4" t="inlineStr"/>
      <c r="E94" s="4" t="inlineStr"/>
    </row>
    <row r="95">
      <c r="A95" s="2" t="inlineStr">
        <is>
          <t>2.1.4</t>
        </is>
      </c>
      <c r="B95" s="2" t="inlineStr">
        <is>
          <t>Thinking Logically</t>
        </is>
      </c>
      <c r="C95" s="3" t="inlineStr"/>
      <c r="D95" s="2" t="inlineStr"/>
      <c r="E95" s="2" t="inlineStr"/>
    </row>
    <row r="96">
      <c r="A96" s="4" t="inlineStr"/>
      <c r="B96" s="4" t="inlineStr">
        <is>
          <t>Identify the points in a problem or program where a decision has to be taken.</t>
        </is>
      </c>
      <c r="C96" s="5" t="inlineStr"/>
      <c r="D96" s="4" t="inlineStr"/>
      <c r="E96" s="4" t="inlineStr"/>
    </row>
    <row r="97">
      <c r="A97" s="4" t="inlineStr"/>
      <c r="B97" s="4" t="inlineStr">
        <is>
          <t>Determine the exact Boolean conditions, using comparison and logical operators, that affect each decision's outcome.</t>
        </is>
      </c>
      <c r="C97" s="5" t="inlineStr"/>
      <c r="D97" s="4" t="inlineStr"/>
      <c r="E97" s="4" t="inlineStr"/>
    </row>
    <row r="98">
      <c r="A98" s="4" t="inlineStr"/>
      <c r="B98" s="4" t="inlineStr">
        <is>
          <t>Explain how decisions determine the flow of control through selection and iteration, stating both branches.</t>
        </is>
      </c>
      <c r="C98" s="5" t="inlineStr"/>
      <c r="D98" s="4" t="inlineStr"/>
      <c r="E98" s="4" t="inlineStr"/>
    </row>
    <row r="99">
      <c r="A99" s="4" t="inlineStr"/>
      <c r="B99" s="4" t="inlineStr">
        <is>
          <t>Verify the logical flow of a routine using a trace table and correct common logic errors.</t>
        </is>
      </c>
      <c r="C99" s="5" t="inlineStr"/>
      <c r="D99" s="4" t="inlineStr"/>
      <c r="E99" s="4" t="inlineStr"/>
    </row>
    <row r="100">
      <c r="A100" s="2" t="inlineStr">
        <is>
          <t>2.1.5</t>
        </is>
      </c>
      <c r="B100" s="2" t="inlineStr">
        <is>
          <t>Thinking Concurrently</t>
        </is>
      </c>
      <c r="C100" s="3" t="inlineStr"/>
      <c r="D100" s="2" t="inlineStr"/>
      <c r="E100" s="2" t="inlineStr"/>
    </row>
    <row r="101">
      <c r="A101" s="4" t="inlineStr"/>
      <c r="B101" s="4" t="inlineStr">
        <is>
          <t>I can explain what it means for parts of a problem to be carried out concurrently.</t>
        </is>
      </c>
      <c r="C101" s="5" t="inlineStr"/>
      <c r="D101" s="4" t="inlineStr"/>
      <c r="E101" s="4" t="inlineStr"/>
    </row>
    <row r="102">
      <c r="A102" s="4" t="inlineStr"/>
      <c r="B102" s="4" t="inlineStr">
        <is>
          <t>I can identify which tasks in a scenario can run at the same time by checking for data dependencies.</t>
        </is>
      </c>
      <c r="C102" s="5" t="inlineStr"/>
      <c r="D102" s="4" t="inlineStr"/>
      <c r="E102" s="4" t="inlineStr"/>
    </row>
    <row r="103">
      <c r="A103" s="4" t="inlineStr"/>
      <c r="B103" s="4" t="inlineStr">
        <is>
          <t>I can weigh the benefits of concurrency (speed, responsiveness, hardware use) against its trade-offs (shared data, coordination, testing).</t>
        </is>
      </c>
      <c r="C103" s="5" t="inlineStr"/>
      <c r="D103" s="4" t="inlineStr"/>
      <c r="E103" s="4" t="inlineStr"/>
    </row>
    <row r="104">
      <c r="A104" s="4" t="inlineStr"/>
      <c r="B104" s="4" t="inlineStr">
        <is>
          <t>I can distinguish true parallel processing on multiple cores from concurrency by time-slicing on one core.</t>
        </is>
      </c>
      <c r="C104" s="5" t="inlineStr"/>
      <c r="D104" s="4" t="inlineStr"/>
      <c r="E104" s="4" t="inlineStr"/>
    </row>
    <row r="105">
      <c r="A105" s="2" t="inlineStr">
        <is>
          <t>2.2.1</t>
        </is>
      </c>
      <c r="B105" s="2" t="inlineStr">
        <is>
          <t>Programming Techniques</t>
        </is>
      </c>
      <c r="C105" s="3" t="inlineStr"/>
      <c r="D105" s="2" t="inlineStr"/>
      <c r="E105" s="2" t="inlineStr"/>
    </row>
    <row r="106">
      <c r="A106" s="4" t="inlineStr"/>
      <c r="B106" s="4" t="inlineStr">
        <is>
          <t>I can use sequence, branching and both count- and condition-controlled iteration in OCR Exam Reference Language.</t>
        </is>
      </c>
      <c r="C106" s="5" t="inlineStr"/>
      <c r="D106" s="4" t="inlineStr"/>
      <c r="E106" s="4" t="inlineStr"/>
    </row>
    <row r="107">
      <c r="A107" s="4" t="inlineStr"/>
      <c r="B107" s="4" t="inlineStr">
        <is>
          <t>I can trace a recursive subroutine using stack frames, identify its base case, and compare recursion with iteration.</t>
        </is>
      </c>
      <c r="C107" s="5" t="inlineStr"/>
      <c r="D107" s="4" t="inlineStr"/>
      <c r="E107" s="4" t="inlineStr"/>
    </row>
    <row r="108">
      <c r="A108" s="4" t="inlineStr"/>
      <c r="B108" s="4" t="inlineStr">
        <is>
          <t>I can explain scope, distinguish functions from procedures, and predict the effect of passing parameters by value and by reference.</t>
        </is>
      </c>
      <c r="C108" s="5" t="inlineStr"/>
      <c r="D108" s="4" t="inlineStr"/>
      <c r="E108" s="4" t="inlineStr"/>
    </row>
    <row r="109">
      <c r="A109" s="4" t="inlineStr"/>
      <c r="B109" s="4" t="inlineStr">
        <is>
          <t>I can describe IDE features that help build and debug code, and apply OOP techniques: encapsulation, inheritance and polymorphism.</t>
        </is>
      </c>
      <c r="C109" s="5" t="inlineStr"/>
      <c r="D109" s="4" t="inlineStr"/>
      <c r="E109" s="4" t="inlineStr"/>
    </row>
    <row r="110">
      <c r="A110" s="2" t="inlineStr">
        <is>
          <t>2.2.2</t>
        </is>
      </c>
      <c r="B110" s="2" t="inlineStr">
        <is>
          <t>Computational Methods</t>
        </is>
      </c>
      <c r="C110" s="3" t="inlineStr"/>
      <c r="D110" s="2" t="inlineStr"/>
      <c r="E110" s="2" t="inlineStr"/>
    </row>
    <row r="111">
      <c r="A111" s="4" t="inlineStr"/>
      <c r="B111" s="4" t="inlineStr">
        <is>
          <t>State the features that make a problem solvable computationally and recognise non-computable and intractable problems</t>
        </is>
      </c>
      <c r="C111" s="5" t="inlineStr"/>
      <c r="D111" s="4" t="inlineStr"/>
      <c r="E111" s="4" t="inlineStr"/>
    </row>
    <row r="112">
      <c r="A112" s="4" t="inlineStr"/>
      <c r="B112" s="4" t="inlineStr">
        <is>
          <t>Describe problem recognition, decomposition, divide and conquer, and abstraction (representational and by generalisation)</t>
        </is>
      </c>
      <c r="C112" s="5" t="inlineStr"/>
      <c r="D112" s="4" t="inlineStr"/>
      <c r="E112" s="4" t="inlineStr"/>
    </row>
    <row r="113">
      <c r="A113" s="4" t="inlineStr"/>
      <c r="B113" s="4" t="inlineStr">
        <is>
          <t>Apply named computational methods (backtracking, data mining, heuristics, performance modelling, pipelining, visualisation) to suitable problems, justifying why each fits</t>
        </is>
      </c>
      <c r="C113" s="5" t="inlineStr"/>
      <c r="D113" s="4" t="inlineStr"/>
      <c r="E113" s="4" t="inlineStr"/>
    </row>
    <row r="114">
      <c r="A114" s="2" t="inlineStr">
        <is>
          <t>2.3.1</t>
        </is>
      </c>
      <c r="B114" s="2" t="inlineStr">
        <is>
          <t>Algorithms</t>
        </is>
      </c>
      <c r="C114" s="3" t="inlineStr"/>
      <c r="D114" s="2" t="inlineStr"/>
      <c r="E114" s="2" t="inlineStr"/>
    </row>
    <row r="115">
      <c r="A115" s="4" t="inlineStr"/>
      <c r="B115" s="4" t="inlineStr">
        <is>
          <t>Use Big O notation to express and justify the time and space complexity of an algorithm, simplifying expressions to the dominant term.</t>
        </is>
      </c>
      <c r="C115" s="5" t="inlineStr"/>
      <c r="D115" s="4" t="inlineStr"/>
      <c r="E115" s="4" t="inlineStr"/>
    </row>
    <row r="116">
      <c r="A116" s="4" t="inlineStr"/>
      <c r="B116" s="4" t="inlineStr">
        <is>
          <t>Compare standard searching and sorting algorithms by how they work and their best, average and worst-case complexities.</t>
        </is>
      </c>
      <c r="C116" s="5" t="inlineStr"/>
      <c r="D116" s="4" t="inlineStr"/>
      <c r="E116" s="4" t="inlineStr"/>
    </row>
    <row r="117">
      <c r="A117" s="4" t="inlineStr"/>
      <c r="B117" s="4" t="inlineStr">
        <is>
          <t>Describe and trace algorithms on data structures, including tree traversals and the shortest-path algorithms Dijkstra and A*.</t>
        </is>
      </c>
      <c r="C117" s="5" t="inlineStr"/>
      <c r="D117" s="4" t="inlineStr"/>
      <c r="E117" s="4" t="inlineStr"/>
    </row>
    <row r="119">
      <c r="B119" s="6" t="inlineStr">
        <is>
          <t>🔴 Not yet (R):</t>
        </is>
      </c>
      <c r="C119">
        <f>COUNTIF(C2:C117,"R")</f>
        <v/>
      </c>
    </row>
    <row r="120">
      <c r="B120" s="6" t="inlineStr">
        <is>
          <t>🟠 Getting there (A):</t>
        </is>
      </c>
      <c r="C120">
        <f>COUNTIF(C2:C117,"A")</f>
        <v/>
      </c>
    </row>
    <row r="121">
      <c r="B121" s="6" t="inlineStr">
        <is>
          <t>🟢 Confident (G):</t>
        </is>
      </c>
      <c r="C121">
        <f>COUNTIF(C2:C117,"G")</f>
        <v/>
      </c>
    </row>
    <row r="122">
      <c r="B122" s="7" t="inlineStr">
        <is>
          <t>Total objectives:</t>
        </is>
      </c>
      <c r="C122" t="n">
        <v>92</v>
      </c>
    </row>
  </sheetData>
  <conditionalFormatting sqref="C3">
    <cfRule type="cellIs" priority="1" operator="equal" dxfId="0">
      <formula>"R"</formula>
    </cfRule>
    <cfRule type="cellIs" priority="2" operator="equal" dxfId="1">
      <formula>"A"</formula>
    </cfRule>
    <cfRule type="cellIs" priority="3" operator="equal" dxfId="2">
      <formula>"G"</formula>
    </cfRule>
  </conditionalFormatting>
  <conditionalFormatting sqref="C4">
    <cfRule type="cellIs" priority="4" operator="equal" dxfId="0">
      <formula>"R"</formula>
    </cfRule>
    <cfRule type="cellIs" priority="5" operator="equal" dxfId="1">
      <formula>"A"</formula>
    </cfRule>
    <cfRule type="cellIs" priority="6" operator="equal" dxfId="2">
      <formula>"G"</formula>
    </cfRule>
  </conditionalFormatting>
  <conditionalFormatting sqref="C5">
    <cfRule type="cellIs" priority="7" operator="equal" dxfId="0">
      <formula>"R"</formula>
    </cfRule>
    <cfRule type="cellIs" priority="8" operator="equal" dxfId="1">
      <formula>"A"</formula>
    </cfRule>
    <cfRule type="cellIs" priority="9" operator="equal" dxfId="2">
      <formula>"G"</formula>
    </cfRule>
  </conditionalFormatting>
  <conditionalFormatting sqref="C6">
    <cfRule type="cellIs" priority="10" operator="equal" dxfId="0">
      <formula>"R"</formula>
    </cfRule>
    <cfRule type="cellIs" priority="11" operator="equal" dxfId="1">
      <formula>"A"</formula>
    </cfRule>
    <cfRule type="cellIs" priority="12" operator="equal" dxfId="2">
      <formula>"G"</formula>
    </cfRule>
  </conditionalFormatting>
  <conditionalFormatting sqref="C8">
    <cfRule type="cellIs" priority="13" operator="equal" dxfId="0">
      <formula>"R"</formula>
    </cfRule>
    <cfRule type="cellIs" priority="14" operator="equal" dxfId="1">
      <formula>"A"</formula>
    </cfRule>
    <cfRule type="cellIs" priority="15" operator="equal" dxfId="2">
      <formula>"G"</formula>
    </cfRule>
  </conditionalFormatting>
  <conditionalFormatting sqref="C9">
    <cfRule type="cellIs" priority="16" operator="equal" dxfId="0">
      <formula>"R"</formula>
    </cfRule>
    <cfRule type="cellIs" priority="17" operator="equal" dxfId="1">
      <formula>"A"</formula>
    </cfRule>
    <cfRule type="cellIs" priority="18" operator="equal" dxfId="2">
      <formula>"G"</formula>
    </cfRule>
  </conditionalFormatting>
  <conditionalFormatting sqref="C10">
    <cfRule type="cellIs" priority="19" operator="equal" dxfId="0">
      <formula>"R"</formula>
    </cfRule>
    <cfRule type="cellIs" priority="20" operator="equal" dxfId="1">
      <formula>"A"</formula>
    </cfRule>
    <cfRule type="cellIs" priority="21" operator="equal" dxfId="2">
      <formula>"G"</formula>
    </cfRule>
  </conditionalFormatting>
  <conditionalFormatting sqref="C11">
    <cfRule type="cellIs" priority="22" operator="equal" dxfId="0">
      <formula>"R"</formula>
    </cfRule>
    <cfRule type="cellIs" priority="23" operator="equal" dxfId="1">
      <formula>"A"</formula>
    </cfRule>
    <cfRule type="cellIs" priority="24" operator="equal" dxfId="2">
      <formula>"G"</formula>
    </cfRule>
  </conditionalFormatting>
  <conditionalFormatting sqref="C13">
    <cfRule type="cellIs" priority="25" operator="equal" dxfId="0">
      <formula>"R"</formula>
    </cfRule>
    <cfRule type="cellIs" priority="26" operator="equal" dxfId="1">
      <formula>"A"</formula>
    </cfRule>
    <cfRule type="cellIs" priority="27" operator="equal" dxfId="2">
      <formula>"G"</formula>
    </cfRule>
  </conditionalFormatting>
  <conditionalFormatting sqref="C14">
    <cfRule type="cellIs" priority="28" operator="equal" dxfId="0">
      <formula>"R"</formula>
    </cfRule>
    <cfRule type="cellIs" priority="29" operator="equal" dxfId="1">
      <formula>"A"</formula>
    </cfRule>
    <cfRule type="cellIs" priority="30" operator="equal" dxfId="2">
      <formula>"G"</formula>
    </cfRule>
  </conditionalFormatting>
  <conditionalFormatting sqref="C15">
    <cfRule type="cellIs" priority="31" operator="equal" dxfId="0">
      <formula>"R"</formula>
    </cfRule>
    <cfRule type="cellIs" priority="32" operator="equal" dxfId="1">
      <formula>"A"</formula>
    </cfRule>
    <cfRule type="cellIs" priority="33" operator="equal" dxfId="2">
      <formula>"G"</formula>
    </cfRule>
  </conditionalFormatting>
  <conditionalFormatting sqref="C16">
    <cfRule type="cellIs" priority="34" operator="equal" dxfId="0">
      <formula>"R"</formula>
    </cfRule>
    <cfRule type="cellIs" priority="35" operator="equal" dxfId="1">
      <formula>"A"</formula>
    </cfRule>
    <cfRule type="cellIs" priority="36" operator="equal" dxfId="2">
      <formula>"G"</formula>
    </cfRule>
  </conditionalFormatting>
  <conditionalFormatting sqref="C18">
    <cfRule type="cellIs" priority="37" operator="equal" dxfId="0">
      <formula>"R"</formula>
    </cfRule>
    <cfRule type="cellIs" priority="38" operator="equal" dxfId="1">
      <formula>"A"</formula>
    </cfRule>
    <cfRule type="cellIs" priority="39" operator="equal" dxfId="2">
      <formula>"G"</formula>
    </cfRule>
  </conditionalFormatting>
  <conditionalFormatting sqref="C19">
    <cfRule type="cellIs" priority="40" operator="equal" dxfId="0">
      <formula>"R"</formula>
    </cfRule>
    <cfRule type="cellIs" priority="41" operator="equal" dxfId="1">
      <formula>"A"</formula>
    </cfRule>
    <cfRule type="cellIs" priority="42" operator="equal" dxfId="2">
      <formula>"G"</formula>
    </cfRule>
  </conditionalFormatting>
  <conditionalFormatting sqref="C20">
    <cfRule type="cellIs" priority="43" operator="equal" dxfId="0">
      <formula>"R"</formula>
    </cfRule>
    <cfRule type="cellIs" priority="44" operator="equal" dxfId="1">
      <formula>"A"</formula>
    </cfRule>
    <cfRule type="cellIs" priority="45" operator="equal" dxfId="2">
      <formula>"G"</formula>
    </cfRule>
  </conditionalFormatting>
  <conditionalFormatting sqref="C21">
    <cfRule type="cellIs" priority="46" operator="equal" dxfId="0">
      <formula>"R"</formula>
    </cfRule>
    <cfRule type="cellIs" priority="47" operator="equal" dxfId="1">
      <formula>"A"</formula>
    </cfRule>
    <cfRule type="cellIs" priority="48" operator="equal" dxfId="2">
      <formula>"G"</formula>
    </cfRule>
  </conditionalFormatting>
  <conditionalFormatting sqref="C23">
    <cfRule type="cellIs" priority="49" operator="equal" dxfId="0">
      <formula>"R"</formula>
    </cfRule>
    <cfRule type="cellIs" priority="50" operator="equal" dxfId="1">
      <formula>"A"</formula>
    </cfRule>
    <cfRule type="cellIs" priority="51" operator="equal" dxfId="2">
      <formula>"G"</formula>
    </cfRule>
  </conditionalFormatting>
  <conditionalFormatting sqref="C24">
    <cfRule type="cellIs" priority="52" operator="equal" dxfId="0">
      <formula>"R"</formula>
    </cfRule>
    <cfRule type="cellIs" priority="53" operator="equal" dxfId="1">
      <formula>"A"</formula>
    </cfRule>
    <cfRule type="cellIs" priority="54" operator="equal" dxfId="2">
      <formula>"G"</formula>
    </cfRule>
  </conditionalFormatting>
  <conditionalFormatting sqref="C25">
    <cfRule type="cellIs" priority="55" operator="equal" dxfId="0">
      <formula>"R"</formula>
    </cfRule>
    <cfRule type="cellIs" priority="56" operator="equal" dxfId="1">
      <formula>"A"</formula>
    </cfRule>
    <cfRule type="cellIs" priority="57" operator="equal" dxfId="2">
      <formula>"G"</formula>
    </cfRule>
  </conditionalFormatting>
  <conditionalFormatting sqref="C26">
    <cfRule type="cellIs" priority="58" operator="equal" dxfId="0">
      <formula>"R"</formula>
    </cfRule>
    <cfRule type="cellIs" priority="59" operator="equal" dxfId="1">
      <formula>"A"</formula>
    </cfRule>
    <cfRule type="cellIs" priority="60" operator="equal" dxfId="2">
      <formula>"G"</formula>
    </cfRule>
  </conditionalFormatting>
  <conditionalFormatting sqref="C28">
    <cfRule type="cellIs" priority="61" operator="equal" dxfId="0">
      <formula>"R"</formula>
    </cfRule>
    <cfRule type="cellIs" priority="62" operator="equal" dxfId="1">
      <formula>"A"</formula>
    </cfRule>
    <cfRule type="cellIs" priority="63" operator="equal" dxfId="2">
      <formula>"G"</formula>
    </cfRule>
  </conditionalFormatting>
  <conditionalFormatting sqref="C29">
    <cfRule type="cellIs" priority="64" operator="equal" dxfId="0">
      <formula>"R"</formula>
    </cfRule>
    <cfRule type="cellIs" priority="65" operator="equal" dxfId="1">
      <formula>"A"</formula>
    </cfRule>
    <cfRule type="cellIs" priority="66" operator="equal" dxfId="2">
      <formula>"G"</formula>
    </cfRule>
  </conditionalFormatting>
  <conditionalFormatting sqref="C30">
    <cfRule type="cellIs" priority="67" operator="equal" dxfId="0">
      <formula>"R"</formula>
    </cfRule>
    <cfRule type="cellIs" priority="68" operator="equal" dxfId="1">
      <formula>"A"</formula>
    </cfRule>
    <cfRule type="cellIs" priority="69" operator="equal" dxfId="2">
      <formula>"G"</formula>
    </cfRule>
  </conditionalFormatting>
  <conditionalFormatting sqref="C31">
    <cfRule type="cellIs" priority="70" operator="equal" dxfId="0">
      <formula>"R"</formula>
    </cfRule>
    <cfRule type="cellIs" priority="71" operator="equal" dxfId="1">
      <formula>"A"</formula>
    </cfRule>
    <cfRule type="cellIs" priority="72" operator="equal" dxfId="2">
      <formula>"G"</formula>
    </cfRule>
  </conditionalFormatting>
  <conditionalFormatting sqref="C33">
    <cfRule type="cellIs" priority="73" operator="equal" dxfId="0">
      <formula>"R"</formula>
    </cfRule>
    <cfRule type="cellIs" priority="74" operator="equal" dxfId="1">
      <formula>"A"</formula>
    </cfRule>
    <cfRule type="cellIs" priority="75" operator="equal" dxfId="2">
      <formula>"G"</formula>
    </cfRule>
  </conditionalFormatting>
  <conditionalFormatting sqref="C34">
    <cfRule type="cellIs" priority="76" operator="equal" dxfId="0">
      <formula>"R"</formula>
    </cfRule>
    <cfRule type="cellIs" priority="77" operator="equal" dxfId="1">
      <formula>"A"</formula>
    </cfRule>
    <cfRule type="cellIs" priority="78" operator="equal" dxfId="2">
      <formula>"G"</formula>
    </cfRule>
  </conditionalFormatting>
  <conditionalFormatting sqref="C35">
    <cfRule type="cellIs" priority="79" operator="equal" dxfId="0">
      <formula>"R"</formula>
    </cfRule>
    <cfRule type="cellIs" priority="80" operator="equal" dxfId="1">
      <formula>"A"</formula>
    </cfRule>
    <cfRule type="cellIs" priority="81" operator="equal" dxfId="2">
      <formula>"G"</formula>
    </cfRule>
  </conditionalFormatting>
  <conditionalFormatting sqref="C36">
    <cfRule type="cellIs" priority="82" operator="equal" dxfId="0">
      <formula>"R"</formula>
    </cfRule>
    <cfRule type="cellIs" priority="83" operator="equal" dxfId="1">
      <formula>"A"</formula>
    </cfRule>
    <cfRule type="cellIs" priority="84" operator="equal" dxfId="2">
      <formula>"G"</formula>
    </cfRule>
  </conditionalFormatting>
  <conditionalFormatting sqref="C38">
    <cfRule type="cellIs" priority="85" operator="equal" dxfId="0">
      <formula>"R"</formula>
    </cfRule>
    <cfRule type="cellIs" priority="86" operator="equal" dxfId="1">
      <formula>"A"</formula>
    </cfRule>
    <cfRule type="cellIs" priority="87" operator="equal" dxfId="2">
      <formula>"G"</formula>
    </cfRule>
  </conditionalFormatting>
  <conditionalFormatting sqref="C39">
    <cfRule type="cellIs" priority="88" operator="equal" dxfId="0">
      <formula>"R"</formula>
    </cfRule>
    <cfRule type="cellIs" priority="89" operator="equal" dxfId="1">
      <formula>"A"</formula>
    </cfRule>
    <cfRule type="cellIs" priority="90" operator="equal" dxfId="2">
      <formula>"G"</formula>
    </cfRule>
  </conditionalFormatting>
  <conditionalFormatting sqref="C40">
    <cfRule type="cellIs" priority="91" operator="equal" dxfId="0">
      <formula>"R"</formula>
    </cfRule>
    <cfRule type="cellIs" priority="92" operator="equal" dxfId="1">
      <formula>"A"</formula>
    </cfRule>
    <cfRule type="cellIs" priority="93" operator="equal" dxfId="2">
      <formula>"G"</formula>
    </cfRule>
  </conditionalFormatting>
  <conditionalFormatting sqref="C41">
    <cfRule type="cellIs" priority="94" operator="equal" dxfId="0">
      <formula>"R"</formula>
    </cfRule>
    <cfRule type="cellIs" priority="95" operator="equal" dxfId="1">
      <formula>"A"</formula>
    </cfRule>
    <cfRule type="cellIs" priority="96" operator="equal" dxfId="2">
      <formula>"G"</formula>
    </cfRule>
  </conditionalFormatting>
  <conditionalFormatting sqref="C43">
    <cfRule type="cellIs" priority="97" operator="equal" dxfId="0">
      <formula>"R"</formula>
    </cfRule>
    <cfRule type="cellIs" priority="98" operator="equal" dxfId="1">
      <formula>"A"</formula>
    </cfRule>
    <cfRule type="cellIs" priority="99" operator="equal" dxfId="2">
      <formula>"G"</formula>
    </cfRule>
  </conditionalFormatting>
  <conditionalFormatting sqref="C44">
    <cfRule type="cellIs" priority="100" operator="equal" dxfId="0">
      <formula>"R"</formula>
    </cfRule>
    <cfRule type="cellIs" priority="101" operator="equal" dxfId="1">
      <formula>"A"</formula>
    </cfRule>
    <cfRule type="cellIs" priority="102" operator="equal" dxfId="2">
      <formula>"G"</formula>
    </cfRule>
  </conditionalFormatting>
  <conditionalFormatting sqref="C45">
    <cfRule type="cellIs" priority="103" operator="equal" dxfId="0">
      <formula>"R"</formula>
    </cfRule>
    <cfRule type="cellIs" priority="104" operator="equal" dxfId="1">
      <formula>"A"</formula>
    </cfRule>
    <cfRule type="cellIs" priority="105" operator="equal" dxfId="2">
      <formula>"G"</formula>
    </cfRule>
  </conditionalFormatting>
  <conditionalFormatting sqref="C46">
    <cfRule type="cellIs" priority="106" operator="equal" dxfId="0">
      <formula>"R"</formula>
    </cfRule>
    <cfRule type="cellIs" priority="107" operator="equal" dxfId="1">
      <formula>"A"</formula>
    </cfRule>
    <cfRule type="cellIs" priority="108" operator="equal" dxfId="2">
      <formula>"G"</formula>
    </cfRule>
  </conditionalFormatting>
  <conditionalFormatting sqref="C48">
    <cfRule type="cellIs" priority="109" operator="equal" dxfId="0">
      <formula>"R"</formula>
    </cfRule>
    <cfRule type="cellIs" priority="110" operator="equal" dxfId="1">
      <formula>"A"</formula>
    </cfRule>
    <cfRule type="cellIs" priority="111" operator="equal" dxfId="2">
      <formula>"G"</formula>
    </cfRule>
  </conditionalFormatting>
  <conditionalFormatting sqref="C49">
    <cfRule type="cellIs" priority="112" operator="equal" dxfId="0">
      <formula>"R"</formula>
    </cfRule>
    <cfRule type="cellIs" priority="113" operator="equal" dxfId="1">
      <formula>"A"</formula>
    </cfRule>
    <cfRule type="cellIs" priority="114" operator="equal" dxfId="2">
      <formula>"G"</formula>
    </cfRule>
  </conditionalFormatting>
  <conditionalFormatting sqref="C50">
    <cfRule type="cellIs" priority="115" operator="equal" dxfId="0">
      <formula>"R"</formula>
    </cfRule>
    <cfRule type="cellIs" priority="116" operator="equal" dxfId="1">
      <formula>"A"</formula>
    </cfRule>
    <cfRule type="cellIs" priority="117" operator="equal" dxfId="2">
      <formula>"G"</formula>
    </cfRule>
  </conditionalFormatting>
  <conditionalFormatting sqref="C51">
    <cfRule type="cellIs" priority="118" operator="equal" dxfId="0">
      <formula>"R"</formula>
    </cfRule>
    <cfRule type="cellIs" priority="119" operator="equal" dxfId="1">
      <formula>"A"</formula>
    </cfRule>
    <cfRule type="cellIs" priority="120" operator="equal" dxfId="2">
      <formula>"G"</formula>
    </cfRule>
  </conditionalFormatting>
  <conditionalFormatting sqref="C53">
    <cfRule type="cellIs" priority="121" operator="equal" dxfId="0">
      <formula>"R"</formula>
    </cfRule>
    <cfRule type="cellIs" priority="122" operator="equal" dxfId="1">
      <formula>"A"</formula>
    </cfRule>
    <cfRule type="cellIs" priority="123" operator="equal" dxfId="2">
      <formula>"G"</formula>
    </cfRule>
  </conditionalFormatting>
  <conditionalFormatting sqref="C54">
    <cfRule type="cellIs" priority="124" operator="equal" dxfId="0">
      <formula>"R"</formula>
    </cfRule>
    <cfRule type="cellIs" priority="125" operator="equal" dxfId="1">
      <formula>"A"</formula>
    </cfRule>
    <cfRule type="cellIs" priority="126" operator="equal" dxfId="2">
      <formula>"G"</formula>
    </cfRule>
  </conditionalFormatting>
  <conditionalFormatting sqref="C55">
    <cfRule type="cellIs" priority="127" operator="equal" dxfId="0">
      <formula>"R"</formula>
    </cfRule>
    <cfRule type="cellIs" priority="128" operator="equal" dxfId="1">
      <formula>"A"</formula>
    </cfRule>
    <cfRule type="cellIs" priority="129" operator="equal" dxfId="2">
      <formula>"G"</formula>
    </cfRule>
  </conditionalFormatting>
  <conditionalFormatting sqref="C56">
    <cfRule type="cellIs" priority="130" operator="equal" dxfId="0">
      <formula>"R"</formula>
    </cfRule>
    <cfRule type="cellIs" priority="131" operator="equal" dxfId="1">
      <formula>"A"</formula>
    </cfRule>
    <cfRule type="cellIs" priority="132" operator="equal" dxfId="2">
      <formula>"G"</formula>
    </cfRule>
  </conditionalFormatting>
  <conditionalFormatting sqref="C58">
    <cfRule type="cellIs" priority="133" operator="equal" dxfId="0">
      <formula>"R"</formula>
    </cfRule>
    <cfRule type="cellIs" priority="134" operator="equal" dxfId="1">
      <formula>"A"</formula>
    </cfRule>
    <cfRule type="cellIs" priority="135" operator="equal" dxfId="2">
      <formula>"G"</formula>
    </cfRule>
  </conditionalFormatting>
  <conditionalFormatting sqref="C59">
    <cfRule type="cellIs" priority="136" operator="equal" dxfId="0">
      <formula>"R"</formula>
    </cfRule>
    <cfRule type="cellIs" priority="137" operator="equal" dxfId="1">
      <formula>"A"</formula>
    </cfRule>
    <cfRule type="cellIs" priority="138" operator="equal" dxfId="2">
      <formula>"G"</formula>
    </cfRule>
  </conditionalFormatting>
  <conditionalFormatting sqref="C60">
    <cfRule type="cellIs" priority="139" operator="equal" dxfId="0">
      <formula>"R"</formula>
    </cfRule>
    <cfRule type="cellIs" priority="140" operator="equal" dxfId="1">
      <formula>"A"</formula>
    </cfRule>
    <cfRule type="cellIs" priority="141" operator="equal" dxfId="2">
      <formula>"G"</formula>
    </cfRule>
  </conditionalFormatting>
  <conditionalFormatting sqref="C61">
    <cfRule type="cellIs" priority="142" operator="equal" dxfId="0">
      <formula>"R"</formula>
    </cfRule>
    <cfRule type="cellIs" priority="143" operator="equal" dxfId="1">
      <formula>"A"</formula>
    </cfRule>
    <cfRule type="cellIs" priority="144" operator="equal" dxfId="2">
      <formula>"G"</formula>
    </cfRule>
  </conditionalFormatting>
  <conditionalFormatting sqref="C63">
    <cfRule type="cellIs" priority="145" operator="equal" dxfId="0">
      <formula>"R"</formula>
    </cfRule>
    <cfRule type="cellIs" priority="146" operator="equal" dxfId="1">
      <formula>"A"</formula>
    </cfRule>
    <cfRule type="cellIs" priority="147" operator="equal" dxfId="2">
      <formula>"G"</formula>
    </cfRule>
  </conditionalFormatting>
  <conditionalFormatting sqref="C64">
    <cfRule type="cellIs" priority="148" operator="equal" dxfId="0">
      <formula>"R"</formula>
    </cfRule>
    <cfRule type="cellIs" priority="149" operator="equal" dxfId="1">
      <formula>"A"</formula>
    </cfRule>
    <cfRule type="cellIs" priority="150" operator="equal" dxfId="2">
      <formula>"G"</formula>
    </cfRule>
  </conditionalFormatting>
  <conditionalFormatting sqref="C65">
    <cfRule type="cellIs" priority="151" operator="equal" dxfId="0">
      <formula>"R"</formula>
    </cfRule>
    <cfRule type="cellIs" priority="152" operator="equal" dxfId="1">
      <formula>"A"</formula>
    </cfRule>
    <cfRule type="cellIs" priority="153" operator="equal" dxfId="2">
      <formula>"G"</formula>
    </cfRule>
  </conditionalFormatting>
  <conditionalFormatting sqref="C66">
    <cfRule type="cellIs" priority="154" operator="equal" dxfId="0">
      <formula>"R"</formula>
    </cfRule>
    <cfRule type="cellIs" priority="155" operator="equal" dxfId="1">
      <formula>"A"</formula>
    </cfRule>
    <cfRule type="cellIs" priority="156" operator="equal" dxfId="2">
      <formula>"G"</formula>
    </cfRule>
  </conditionalFormatting>
  <conditionalFormatting sqref="C68">
    <cfRule type="cellIs" priority="157" operator="equal" dxfId="0">
      <formula>"R"</formula>
    </cfRule>
    <cfRule type="cellIs" priority="158" operator="equal" dxfId="1">
      <formula>"A"</formula>
    </cfRule>
    <cfRule type="cellIs" priority="159" operator="equal" dxfId="2">
      <formula>"G"</formula>
    </cfRule>
  </conditionalFormatting>
  <conditionalFormatting sqref="C69">
    <cfRule type="cellIs" priority="160" operator="equal" dxfId="0">
      <formula>"R"</formula>
    </cfRule>
    <cfRule type="cellIs" priority="161" operator="equal" dxfId="1">
      <formula>"A"</formula>
    </cfRule>
    <cfRule type="cellIs" priority="162" operator="equal" dxfId="2">
      <formula>"G"</formula>
    </cfRule>
  </conditionalFormatting>
  <conditionalFormatting sqref="C70">
    <cfRule type="cellIs" priority="163" operator="equal" dxfId="0">
      <formula>"R"</formula>
    </cfRule>
    <cfRule type="cellIs" priority="164" operator="equal" dxfId="1">
      <formula>"A"</formula>
    </cfRule>
    <cfRule type="cellIs" priority="165" operator="equal" dxfId="2">
      <formula>"G"</formula>
    </cfRule>
  </conditionalFormatting>
  <conditionalFormatting sqref="C71">
    <cfRule type="cellIs" priority="166" operator="equal" dxfId="0">
      <formula>"R"</formula>
    </cfRule>
    <cfRule type="cellIs" priority="167" operator="equal" dxfId="1">
      <formula>"A"</formula>
    </cfRule>
    <cfRule type="cellIs" priority="168" operator="equal" dxfId="2">
      <formula>"G"</formula>
    </cfRule>
  </conditionalFormatting>
  <conditionalFormatting sqref="C73">
    <cfRule type="cellIs" priority="169" operator="equal" dxfId="0">
      <formula>"R"</formula>
    </cfRule>
    <cfRule type="cellIs" priority="170" operator="equal" dxfId="1">
      <formula>"A"</formula>
    </cfRule>
    <cfRule type="cellIs" priority="171" operator="equal" dxfId="2">
      <formula>"G"</formula>
    </cfRule>
  </conditionalFormatting>
  <conditionalFormatting sqref="C74">
    <cfRule type="cellIs" priority="172" operator="equal" dxfId="0">
      <formula>"R"</formula>
    </cfRule>
    <cfRule type="cellIs" priority="173" operator="equal" dxfId="1">
      <formula>"A"</formula>
    </cfRule>
    <cfRule type="cellIs" priority="174" operator="equal" dxfId="2">
      <formula>"G"</formula>
    </cfRule>
  </conditionalFormatting>
  <conditionalFormatting sqref="C75">
    <cfRule type="cellIs" priority="175" operator="equal" dxfId="0">
      <formula>"R"</formula>
    </cfRule>
    <cfRule type="cellIs" priority="176" operator="equal" dxfId="1">
      <formula>"A"</formula>
    </cfRule>
    <cfRule type="cellIs" priority="177" operator="equal" dxfId="2">
      <formula>"G"</formula>
    </cfRule>
  </conditionalFormatting>
  <conditionalFormatting sqref="C77">
    <cfRule type="cellIs" priority="178" operator="equal" dxfId="0">
      <formula>"R"</formula>
    </cfRule>
    <cfRule type="cellIs" priority="179" operator="equal" dxfId="1">
      <formula>"A"</formula>
    </cfRule>
    <cfRule type="cellIs" priority="180" operator="equal" dxfId="2">
      <formula>"G"</formula>
    </cfRule>
  </conditionalFormatting>
  <conditionalFormatting sqref="C78">
    <cfRule type="cellIs" priority="181" operator="equal" dxfId="0">
      <formula>"R"</formula>
    </cfRule>
    <cfRule type="cellIs" priority="182" operator="equal" dxfId="1">
      <formula>"A"</formula>
    </cfRule>
    <cfRule type="cellIs" priority="183" operator="equal" dxfId="2">
      <formula>"G"</formula>
    </cfRule>
  </conditionalFormatting>
  <conditionalFormatting sqref="C79">
    <cfRule type="cellIs" priority="184" operator="equal" dxfId="0">
      <formula>"R"</formula>
    </cfRule>
    <cfRule type="cellIs" priority="185" operator="equal" dxfId="1">
      <formula>"A"</formula>
    </cfRule>
    <cfRule type="cellIs" priority="186" operator="equal" dxfId="2">
      <formula>"G"</formula>
    </cfRule>
  </conditionalFormatting>
  <conditionalFormatting sqref="C81">
    <cfRule type="cellIs" priority="187" operator="equal" dxfId="0">
      <formula>"R"</formula>
    </cfRule>
    <cfRule type="cellIs" priority="188" operator="equal" dxfId="1">
      <formula>"A"</formula>
    </cfRule>
    <cfRule type="cellIs" priority="189" operator="equal" dxfId="2">
      <formula>"G"</formula>
    </cfRule>
  </conditionalFormatting>
  <conditionalFormatting sqref="C82">
    <cfRule type="cellIs" priority="190" operator="equal" dxfId="0">
      <formula>"R"</formula>
    </cfRule>
    <cfRule type="cellIs" priority="191" operator="equal" dxfId="1">
      <formula>"A"</formula>
    </cfRule>
    <cfRule type="cellIs" priority="192" operator="equal" dxfId="2">
      <formula>"G"</formula>
    </cfRule>
  </conditionalFormatting>
  <conditionalFormatting sqref="C83">
    <cfRule type="cellIs" priority="193" operator="equal" dxfId="0">
      <formula>"R"</formula>
    </cfRule>
    <cfRule type="cellIs" priority="194" operator="equal" dxfId="1">
      <formula>"A"</formula>
    </cfRule>
    <cfRule type="cellIs" priority="195" operator="equal" dxfId="2">
      <formula>"G"</formula>
    </cfRule>
  </conditionalFormatting>
  <conditionalFormatting sqref="C84">
    <cfRule type="cellIs" priority="196" operator="equal" dxfId="0">
      <formula>"R"</formula>
    </cfRule>
    <cfRule type="cellIs" priority="197" operator="equal" dxfId="1">
      <formula>"A"</formula>
    </cfRule>
    <cfRule type="cellIs" priority="198" operator="equal" dxfId="2">
      <formula>"G"</formula>
    </cfRule>
  </conditionalFormatting>
  <conditionalFormatting sqref="C86">
    <cfRule type="cellIs" priority="199" operator="equal" dxfId="0">
      <formula>"R"</formula>
    </cfRule>
    <cfRule type="cellIs" priority="200" operator="equal" dxfId="1">
      <formula>"A"</formula>
    </cfRule>
    <cfRule type="cellIs" priority="201" operator="equal" dxfId="2">
      <formula>"G"</formula>
    </cfRule>
  </conditionalFormatting>
  <conditionalFormatting sqref="C87">
    <cfRule type="cellIs" priority="202" operator="equal" dxfId="0">
      <formula>"R"</formula>
    </cfRule>
    <cfRule type="cellIs" priority="203" operator="equal" dxfId="1">
      <formula>"A"</formula>
    </cfRule>
    <cfRule type="cellIs" priority="204" operator="equal" dxfId="2">
      <formula>"G"</formula>
    </cfRule>
  </conditionalFormatting>
  <conditionalFormatting sqref="C88">
    <cfRule type="cellIs" priority="205" operator="equal" dxfId="0">
      <formula>"R"</formula>
    </cfRule>
    <cfRule type="cellIs" priority="206" operator="equal" dxfId="1">
      <formula>"A"</formula>
    </cfRule>
    <cfRule type="cellIs" priority="207" operator="equal" dxfId="2">
      <formula>"G"</formula>
    </cfRule>
  </conditionalFormatting>
  <conditionalFormatting sqref="C89">
    <cfRule type="cellIs" priority="208" operator="equal" dxfId="0">
      <formula>"R"</formula>
    </cfRule>
    <cfRule type="cellIs" priority="209" operator="equal" dxfId="1">
      <formula>"A"</formula>
    </cfRule>
    <cfRule type="cellIs" priority="210" operator="equal" dxfId="2">
      <formula>"G"</formula>
    </cfRule>
  </conditionalFormatting>
  <conditionalFormatting sqref="C91">
    <cfRule type="cellIs" priority="211" operator="equal" dxfId="0">
      <formula>"R"</formula>
    </cfRule>
    <cfRule type="cellIs" priority="212" operator="equal" dxfId="1">
      <formula>"A"</formula>
    </cfRule>
    <cfRule type="cellIs" priority="213" operator="equal" dxfId="2">
      <formula>"G"</formula>
    </cfRule>
  </conditionalFormatting>
  <conditionalFormatting sqref="C92">
    <cfRule type="cellIs" priority="214" operator="equal" dxfId="0">
      <formula>"R"</formula>
    </cfRule>
    <cfRule type="cellIs" priority="215" operator="equal" dxfId="1">
      <formula>"A"</formula>
    </cfRule>
    <cfRule type="cellIs" priority="216" operator="equal" dxfId="2">
      <formula>"G"</formula>
    </cfRule>
  </conditionalFormatting>
  <conditionalFormatting sqref="C93">
    <cfRule type="cellIs" priority="217" operator="equal" dxfId="0">
      <formula>"R"</formula>
    </cfRule>
    <cfRule type="cellIs" priority="218" operator="equal" dxfId="1">
      <formula>"A"</formula>
    </cfRule>
    <cfRule type="cellIs" priority="219" operator="equal" dxfId="2">
      <formula>"G"</formula>
    </cfRule>
  </conditionalFormatting>
  <conditionalFormatting sqref="C94">
    <cfRule type="cellIs" priority="220" operator="equal" dxfId="0">
      <formula>"R"</formula>
    </cfRule>
    <cfRule type="cellIs" priority="221" operator="equal" dxfId="1">
      <formula>"A"</formula>
    </cfRule>
    <cfRule type="cellIs" priority="222" operator="equal" dxfId="2">
      <formula>"G"</formula>
    </cfRule>
  </conditionalFormatting>
  <conditionalFormatting sqref="C96">
    <cfRule type="cellIs" priority="223" operator="equal" dxfId="0">
      <formula>"R"</formula>
    </cfRule>
    <cfRule type="cellIs" priority="224" operator="equal" dxfId="1">
      <formula>"A"</formula>
    </cfRule>
    <cfRule type="cellIs" priority="225" operator="equal" dxfId="2">
      <formula>"G"</formula>
    </cfRule>
  </conditionalFormatting>
  <conditionalFormatting sqref="C97">
    <cfRule type="cellIs" priority="226" operator="equal" dxfId="0">
      <formula>"R"</formula>
    </cfRule>
    <cfRule type="cellIs" priority="227" operator="equal" dxfId="1">
      <formula>"A"</formula>
    </cfRule>
    <cfRule type="cellIs" priority="228" operator="equal" dxfId="2">
      <formula>"G"</formula>
    </cfRule>
  </conditionalFormatting>
  <conditionalFormatting sqref="C98">
    <cfRule type="cellIs" priority="229" operator="equal" dxfId="0">
      <formula>"R"</formula>
    </cfRule>
    <cfRule type="cellIs" priority="230" operator="equal" dxfId="1">
      <formula>"A"</formula>
    </cfRule>
    <cfRule type="cellIs" priority="231" operator="equal" dxfId="2">
      <formula>"G"</formula>
    </cfRule>
  </conditionalFormatting>
  <conditionalFormatting sqref="C99">
    <cfRule type="cellIs" priority="232" operator="equal" dxfId="0">
      <formula>"R"</formula>
    </cfRule>
    <cfRule type="cellIs" priority="233" operator="equal" dxfId="1">
      <formula>"A"</formula>
    </cfRule>
    <cfRule type="cellIs" priority="234" operator="equal" dxfId="2">
      <formula>"G"</formula>
    </cfRule>
  </conditionalFormatting>
  <conditionalFormatting sqref="C101">
    <cfRule type="cellIs" priority="235" operator="equal" dxfId="0">
      <formula>"R"</formula>
    </cfRule>
    <cfRule type="cellIs" priority="236" operator="equal" dxfId="1">
      <formula>"A"</formula>
    </cfRule>
    <cfRule type="cellIs" priority="237" operator="equal" dxfId="2">
      <formula>"G"</formula>
    </cfRule>
  </conditionalFormatting>
  <conditionalFormatting sqref="C102">
    <cfRule type="cellIs" priority="238" operator="equal" dxfId="0">
      <formula>"R"</formula>
    </cfRule>
    <cfRule type="cellIs" priority="239" operator="equal" dxfId="1">
      <formula>"A"</formula>
    </cfRule>
    <cfRule type="cellIs" priority="240" operator="equal" dxfId="2">
      <formula>"G"</formula>
    </cfRule>
  </conditionalFormatting>
  <conditionalFormatting sqref="C103">
    <cfRule type="cellIs" priority="241" operator="equal" dxfId="0">
      <formula>"R"</formula>
    </cfRule>
    <cfRule type="cellIs" priority="242" operator="equal" dxfId="1">
      <formula>"A"</formula>
    </cfRule>
    <cfRule type="cellIs" priority="243" operator="equal" dxfId="2">
      <formula>"G"</formula>
    </cfRule>
  </conditionalFormatting>
  <conditionalFormatting sqref="C104">
    <cfRule type="cellIs" priority="244" operator="equal" dxfId="0">
      <formula>"R"</formula>
    </cfRule>
    <cfRule type="cellIs" priority="245" operator="equal" dxfId="1">
      <formula>"A"</formula>
    </cfRule>
    <cfRule type="cellIs" priority="246" operator="equal" dxfId="2">
      <formula>"G"</formula>
    </cfRule>
  </conditionalFormatting>
  <conditionalFormatting sqref="C106">
    <cfRule type="cellIs" priority="247" operator="equal" dxfId="0">
      <formula>"R"</formula>
    </cfRule>
    <cfRule type="cellIs" priority="248" operator="equal" dxfId="1">
      <formula>"A"</formula>
    </cfRule>
    <cfRule type="cellIs" priority="249" operator="equal" dxfId="2">
      <formula>"G"</formula>
    </cfRule>
  </conditionalFormatting>
  <conditionalFormatting sqref="C107">
    <cfRule type="cellIs" priority="250" operator="equal" dxfId="0">
      <formula>"R"</formula>
    </cfRule>
    <cfRule type="cellIs" priority="251" operator="equal" dxfId="1">
      <formula>"A"</formula>
    </cfRule>
    <cfRule type="cellIs" priority="252" operator="equal" dxfId="2">
      <formula>"G"</formula>
    </cfRule>
  </conditionalFormatting>
  <conditionalFormatting sqref="C108">
    <cfRule type="cellIs" priority="253" operator="equal" dxfId="0">
      <formula>"R"</formula>
    </cfRule>
    <cfRule type="cellIs" priority="254" operator="equal" dxfId="1">
      <formula>"A"</formula>
    </cfRule>
    <cfRule type="cellIs" priority="255" operator="equal" dxfId="2">
      <formula>"G"</formula>
    </cfRule>
  </conditionalFormatting>
  <conditionalFormatting sqref="C109">
    <cfRule type="cellIs" priority="256" operator="equal" dxfId="0">
      <formula>"R"</formula>
    </cfRule>
    <cfRule type="cellIs" priority="257" operator="equal" dxfId="1">
      <formula>"A"</formula>
    </cfRule>
    <cfRule type="cellIs" priority="258" operator="equal" dxfId="2">
      <formula>"G"</formula>
    </cfRule>
  </conditionalFormatting>
  <conditionalFormatting sqref="C111">
    <cfRule type="cellIs" priority="259" operator="equal" dxfId="0">
      <formula>"R"</formula>
    </cfRule>
    <cfRule type="cellIs" priority="260" operator="equal" dxfId="1">
      <formula>"A"</formula>
    </cfRule>
    <cfRule type="cellIs" priority="261" operator="equal" dxfId="2">
      <formula>"G"</formula>
    </cfRule>
  </conditionalFormatting>
  <conditionalFormatting sqref="C112">
    <cfRule type="cellIs" priority="262" operator="equal" dxfId="0">
      <formula>"R"</formula>
    </cfRule>
    <cfRule type="cellIs" priority="263" operator="equal" dxfId="1">
      <formula>"A"</formula>
    </cfRule>
    <cfRule type="cellIs" priority="264" operator="equal" dxfId="2">
      <formula>"G"</formula>
    </cfRule>
  </conditionalFormatting>
  <conditionalFormatting sqref="C113">
    <cfRule type="cellIs" priority="265" operator="equal" dxfId="0">
      <formula>"R"</formula>
    </cfRule>
    <cfRule type="cellIs" priority="266" operator="equal" dxfId="1">
      <formula>"A"</formula>
    </cfRule>
    <cfRule type="cellIs" priority="267" operator="equal" dxfId="2">
      <formula>"G"</formula>
    </cfRule>
  </conditionalFormatting>
  <conditionalFormatting sqref="C115">
    <cfRule type="cellIs" priority="268" operator="equal" dxfId="0">
      <formula>"R"</formula>
    </cfRule>
    <cfRule type="cellIs" priority="269" operator="equal" dxfId="1">
      <formula>"A"</formula>
    </cfRule>
    <cfRule type="cellIs" priority="270" operator="equal" dxfId="2">
      <formula>"G"</formula>
    </cfRule>
  </conditionalFormatting>
  <conditionalFormatting sqref="C116">
    <cfRule type="cellIs" priority="271" operator="equal" dxfId="0">
      <formula>"R"</formula>
    </cfRule>
    <cfRule type="cellIs" priority="272" operator="equal" dxfId="1">
      <formula>"A"</formula>
    </cfRule>
    <cfRule type="cellIs" priority="273" operator="equal" dxfId="2">
      <formula>"G"</formula>
    </cfRule>
  </conditionalFormatting>
  <conditionalFormatting sqref="C117">
    <cfRule type="cellIs" priority="274" operator="equal" dxfId="0">
      <formula>"R"</formula>
    </cfRule>
    <cfRule type="cellIs" priority="275" operator="equal" dxfId="1">
      <formula>"A"</formula>
    </cfRule>
    <cfRule type="cellIs" priority="276" operator="equal" dxfId="2">
      <formula>"G"</formula>
    </cfRule>
  </conditionalFormatting>
  <dataValidations count="1">
    <dataValidation sqref="C3 C4 C5 C6 C8 C9 C10 C11 C13 C14 C15 C16 C18 C19 C20 C21 C23 C24 C25 C26 C28 C29 C30 C31 C33 C34 C35 C36 C38 C39 C40 C41 C43 C44 C45 C46 C48 C49 C50 C51 C53 C54 C55 C56 C58 C59 C60 C61 C63 C64 C65 C66 C68 C69 C70 C71 C73 C74 C75 C77 C78 C79 C81 C82 C83 C84 C86 C87 C88 C89 C91 C92 C93 C94 C96 C97 C98 C99 C101 C102 C103 C104 C106 C107 C108 C109 C111 C112 C113 C115 C116 C117" showDropDown="0" showInputMessage="0" showErrorMessage="0" allowBlank="1" prompt="R = not yet, A = getting there, G = confident" type="list">
      <formula1>"R,A,G"</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2026-07-07T12:33:48Z</dcterms:created>
  <dcterms:modified xmlns:dcterms="http://purl.org/dc/terms/" xmlns:xsi="http://www.w3.org/2001/XMLSchema-instance" xsi:type="dcterms:W3CDTF">2026-07-07T12:33:48Z</dcterms:modified>
</cp:coreProperties>
</file>