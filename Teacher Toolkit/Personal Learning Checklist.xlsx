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i val="1"/>
    </font>
  </fonts>
  <fills count="4">
    <fill>
      <patternFill/>
    </fill>
    <fill>
      <patternFill patternType="gray125"/>
    </fill>
    <fill>
      <patternFill patternType="solid">
        <fgColor rgb="001A365D"/>
      </patternFill>
    </fill>
    <fill>
      <patternFill patternType="solid">
        <fgColor rgb="002B6CB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1" fillId="3" borderId="1" applyAlignment="1" pivotButton="0" quotePrefix="0" xfId="0">
      <alignment vertical="center" wrapText="1"/>
    </xf>
    <xf numFmtId="0" fontId="1" fillId="3"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dxfs count="3">
    <dxf>
      <font>
        <b val="1"/>
        <color rgb="00990000"/>
      </font>
      <fill>
        <patternFill patternType="solid">
          <fgColor rgb="00F4CCCC"/>
        </patternFill>
      </fill>
    </dxf>
    <dxf>
      <font>
        <b val="1"/>
        <color rgb="00996600"/>
      </font>
      <fill>
        <patternFill patternType="solid">
          <fgColor rgb="00FCE5CD"/>
        </patternFill>
      </fill>
    </dxf>
    <dxf>
      <font>
        <b val="1"/>
        <color rgb="00006600"/>
      </font>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2"/>
  <sheetViews>
    <sheetView workbookViewId="0">
      <pane ySplit="1" topLeftCell="A2" activePane="bottomLeft" state="frozen"/>
      <selection pane="bottomLeft" activeCell="A1" sqref="A1"/>
    </sheetView>
  </sheetViews>
  <sheetFormatPr baseColWidth="8" defaultRowHeight="15"/>
  <cols>
    <col width="9" customWidth="1" min="1" max="1"/>
    <col width="78" customWidth="1" min="2" max="2"/>
    <col width="7" customWidth="1" min="3" max="3"/>
    <col width="12" customWidth="1" min="4" max="4"/>
    <col width="34" customWidth="1" min="5" max="5"/>
  </cols>
  <sheetData>
    <row r="1">
      <c r="A1" s="1" t="inlineStr">
        <is>
          <t>Spec</t>
        </is>
      </c>
      <c r="B1" s="1" t="inlineStr">
        <is>
          <t>I can…  (tick your confidence)</t>
        </is>
      </c>
      <c r="C1" s="1" t="inlineStr">
        <is>
          <t>RAG</t>
        </is>
      </c>
      <c r="D1" s="1" t="inlineStr">
        <is>
          <t>Date</t>
        </is>
      </c>
      <c r="E1" s="1" t="inlineStr">
        <is>
          <t>Notes / evidence</t>
        </is>
      </c>
    </row>
    <row r="2">
      <c r="A2" s="2" t="inlineStr">
        <is>
          <t>1.1.1</t>
        </is>
      </c>
      <c r="B2" s="2" t="inlineStr">
        <is>
          <t>Structure and Function of the Processor</t>
        </is>
      </c>
      <c r="C2" s="3" t="inlineStr"/>
      <c r="D2" s="2" t="inlineStr"/>
      <c r="E2" s="2" t="inlineStr"/>
    </row>
    <row r="3">
      <c r="A3" s="4" t="inlineStr"/>
      <c r="B3" s="4" t="inlineStr">
        <is>
          <t>Describe the function of the ALU, Control Unit, registers (PC, MAR, MDR, CIR, ACC) and the three system buses</t>
        </is>
      </c>
      <c r="C3" s="5" t="inlineStr"/>
      <c r="D3" s="4" t="inlineStr"/>
      <c r="E3" s="4" t="inlineStr"/>
    </row>
    <row r="4">
      <c r="A4" s="4" t="inlineStr"/>
      <c r="B4" s="4" t="inlineStr">
        <is>
          <t>Explain the stages of the fetch-decode-execute cycle and how registers and buses interact during it</t>
        </is>
      </c>
      <c r="C4" s="5" t="inlineStr"/>
      <c r="D4" s="4" t="inlineStr"/>
      <c r="E4" s="4" t="inlineStr"/>
    </row>
    <row r="5">
      <c r="A5" s="4" t="inlineStr"/>
      <c r="B5" s="4" t="inlineStr">
        <is>
          <t>Apply the factors affecting CPU performance (clock speed, cores, cache, pipelining) to compare processors for a given scenario</t>
        </is>
      </c>
      <c r="C5" s="5" t="inlineStr"/>
      <c r="D5" s="4" t="inlineStr"/>
      <c r="E5" s="4" t="inlineStr"/>
    </row>
    <row r="6">
      <c r="A6" s="2" t="inlineStr">
        <is>
          <t>1.1.2</t>
        </is>
      </c>
      <c r="B6" s="2" t="inlineStr">
        <is>
          <t>Types of Processor</t>
        </is>
      </c>
      <c r="C6" s="3" t="inlineStr"/>
      <c r="D6" s="2" t="inlineStr"/>
      <c r="E6" s="2" t="inlineStr"/>
    </row>
    <row r="7">
      <c r="A7" s="4" t="inlineStr"/>
      <c r="B7" s="4" t="inlineStr">
        <is>
          <t>Describe and compare Von Neumann and Harvard architectures, including the modified/hybrid form used in modern CPUs</t>
        </is>
      </c>
      <c r="C7" s="5" t="inlineStr"/>
      <c r="D7" s="4" t="inlineStr"/>
      <c r="E7" s="4" t="inlineStr"/>
    </row>
    <row r="8">
      <c r="A8" s="4" t="inlineStr"/>
      <c r="B8" s="4" t="inlineStr">
        <is>
          <t>Explain the differences between CISC and RISC processors and where each is used</t>
        </is>
      </c>
      <c r="C8" s="5" t="inlineStr"/>
      <c r="D8" s="4" t="inlineStr"/>
      <c r="E8" s="4" t="inlineStr"/>
    </row>
    <row r="9">
      <c r="A9" s="4" t="inlineStr"/>
      <c r="B9" s="4" t="inlineStr">
        <is>
          <t>Apply knowledge of GPUs, multicore and parallel processing to justify a processor choice for a given workload</t>
        </is>
      </c>
      <c r="C9" s="5" t="inlineStr"/>
      <c r="D9" s="4" t="inlineStr"/>
      <c r="E9" s="4" t="inlineStr"/>
    </row>
    <row r="10">
      <c r="A10" s="2" t="inlineStr">
        <is>
          <t>1.1.3</t>
        </is>
      </c>
      <c r="B10" s="2" t="inlineStr">
        <is>
          <t>Input, Output and Storage Devices</t>
        </is>
      </c>
      <c r="C10" s="3" t="inlineStr"/>
      <c r="D10" s="2" t="inlineStr"/>
      <c r="E10" s="2" t="inlineStr"/>
    </row>
    <row r="11">
      <c r="A11" s="4" t="inlineStr"/>
      <c r="B11" s="4" t="inlineStr">
        <is>
          <t>Describe how magnetic, flash/solid-state and optical storage work and compare their pros and cons</t>
        </is>
      </c>
      <c r="C11" s="5" t="inlineStr"/>
      <c r="D11" s="4" t="inlineStr"/>
      <c r="E11" s="4" t="inlineStr"/>
    </row>
    <row r="12">
      <c r="A12" s="4" t="inlineStr"/>
      <c r="B12" s="4" t="inlineStr">
        <is>
          <t>Explain the differences between RAM and ROM and how virtual memory and virtual/cloud storage work</t>
        </is>
      </c>
      <c r="C12" s="5" t="inlineStr"/>
      <c r="D12" s="4" t="inlineStr"/>
      <c r="E12" s="4" t="inlineStr"/>
    </row>
    <row r="13">
      <c r="A13" s="4" t="inlineStr"/>
      <c r="B13" s="4" t="inlineStr">
        <is>
          <t>Apply device characteristics to justify suitable input, output and storage choices for a given scenario</t>
        </is>
      </c>
      <c r="C13" s="5" t="inlineStr"/>
      <c r="D13" s="4" t="inlineStr"/>
      <c r="E13" s="4" t="inlineStr"/>
    </row>
    <row r="14">
      <c r="A14" s="2" t="inlineStr">
        <is>
          <t>1.2.1</t>
        </is>
      </c>
      <c r="B14" s="2" t="inlineStr">
        <is>
          <t>Operating Systems</t>
        </is>
      </c>
      <c r="C14" s="3" t="inlineStr"/>
      <c r="D14" s="2" t="inlineStr"/>
      <c r="E14" s="2" t="inlineStr"/>
    </row>
    <row r="15">
      <c r="A15" s="4" t="inlineStr"/>
      <c r="B15" s="4" t="inlineStr">
        <is>
          <t>Describe how an operating system manages memory (paging, segmentation and virtual memory) and handles interrupts using the stack.</t>
        </is>
      </c>
      <c r="C15" s="5" t="inlineStr"/>
      <c r="D15" s="4" t="inlineStr"/>
      <c r="E15" s="4" t="inlineStr"/>
    </row>
    <row r="16">
      <c r="A16" s="4" t="inlineStr"/>
      <c r="B16" s="4" t="inlineStr">
        <is>
          <t>Compare CPU scheduling algorithms and explain the purpose of different types of operating system.</t>
        </is>
      </c>
      <c r="C16" s="5" t="inlineStr"/>
      <c r="D16" s="4" t="inlineStr"/>
      <c r="E16" s="4" t="inlineStr"/>
    </row>
    <row r="17">
      <c r="A17" s="4" t="inlineStr"/>
      <c r="B17" s="4" t="inlineStr">
        <is>
          <t>Explain the roles of the BIOS, device drivers and virtual machines in a computer system.</t>
        </is>
      </c>
      <c r="C17" s="5" t="inlineStr"/>
      <c r="D17" s="4" t="inlineStr"/>
      <c r="E17" s="4" t="inlineStr"/>
    </row>
    <row r="18">
      <c r="A18" s="2" t="inlineStr">
        <is>
          <t>1.2.2</t>
        </is>
      </c>
      <c r="B18" s="2" t="inlineStr">
        <is>
          <t>Applications Generation</t>
        </is>
      </c>
      <c r="C18" s="3" t="inlineStr"/>
      <c r="D18" s="2" t="inlineStr"/>
      <c r="E18" s="2" t="inlineStr"/>
    </row>
    <row r="19">
      <c r="A19" s="4" t="inlineStr"/>
      <c r="B19" s="4" t="inlineStr">
        <is>
          <t>Distinguish application, utility and open/closed source software and select appropriate examples.</t>
        </is>
      </c>
      <c r="C19" s="5" t="inlineStr"/>
      <c r="D19" s="4" t="inlineStr"/>
      <c r="E19" s="4" t="inlineStr"/>
    </row>
    <row r="20">
      <c r="A20" s="4" t="inlineStr"/>
      <c r="B20" s="4" t="inlineStr">
        <is>
          <t>Compare assemblers, compilers and interpreters and describe the four stages of compilation in order.</t>
        </is>
      </c>
      <c r="C20" s="5" t="inlineStr"/>
      <c r="D20" s="4" t="inlineStr"/>
      <c r="E20" s="4" t="inlineStr"/>
    </row>
    <row r="21">
      <c r="A21" s="4" t="inlineStr"/>
      <c r="B21" s="4" t="inlineStr">
        <is>
          <t>Explain the roles of libraries, linkers and loaders, including static versus dynamic linking.</t>
        </is>
      </c>
      <c r="C21" s="5" t="inlineStr"/>
      <c r="D21" s="4" t="inlineStr"/>
      <c r="E21" s="4" t="inlineStr"/>
    </row>
    <row r="22">
      <c r="A22" s="2" t="inlineStr">
        <is>
          <t>1.2.3</t>
        </is>
      </c>
      <c r="B22" s="2" t="inlineStr">
        <is>
          <t>Software Development</t>
        </is>
      </c>
      <c r="C22" s="3" t="inlineStr"/>
      <c r="D22" s="2" t="inlineStr"/>
      <c r="E22" s="2" t="inlineStr"/>
    </row>
    <row r="23">
      <c r="A23" s="4" t="inlineStr"/>
      <c r="B23" s="4" t="inlineStr">
        <is>
          <t>Compare the Waterfall, Agile, Extreme Programming, Spiral and RAD methodologies and their trade-offs.</t>
        </is>
      </c>
      <c r="C23" s="5" t="inlineStr"/>
      <c r="D23" s="4" t="inlineStr"/>
      <c r="E23" s="4" t="inlineStr"/>
    </row>
    <row r="24">
      <c r="A24" s="4" t="inlineStr"/>
      <c r="B24" s="4" t="inlineStr">
        <is>
          <t>Describe the stages of the software development lifecycle from analysis to evaluation.</t>
        </is>
      </c>
      <c r="C24" s="5" t="inlineStr"/>
      <c r="D24" s="4" t="inlineStr"/>
      <c r="E24" s="4" t="inlineStr"/>
    </row>
    <row r="25">
      <c r="A25" s="4" t="inlineStr"/>
      <c r="B25" s="4" t="inlineStr">
        <is>
          <t>Select and justify a suitable methodology for a given scenario using its clues.</t>
        </is>
      </c>
      <c r="C25" s="5" t="inlineStr"/>
      <c r="D25" s="4" t="inlineStr"/>
      <c r="E25" s="4" t="inlineStr"/>
    </row>
    <row r="26">
      <c r="A26" s="2" t="inlineStr">
        <is>
          <t>1.2.4</t>
        </is>
      </c>
      <c r="B26" s="2" t="inlineStr">
        <is>
          <t>Types of Programming Language</t>
        </is>
      </c>
      <c r="C26" s="3" t="inlineStr"/>
      <c r="D26" s="2" t="inlineStr"/>
      <c r="E26" s="2" t="inlineStr"/>
    </row>
    <row r="27">
      <c r="A27" s="4" t="inlineStr"/>
      <c r="B27" s="4" t="inlineStr">
        <is>
          <t>Explain what a programming paradigm is and describe the procedural and low-level (assembly) approaches.</t>
        </is>
      </c>
      <c r="C27" s="5" t="inlineStr"/>
      <c r="D27" s="4" t="inlineStr"/>
      <c r="E27" s="4" t="inlineStr"/>
    </row>
    <row r="28">
      <c r="A28" s="4" t="inlineStr"/>
      <c r="B28" s="4" t="inlineStr">
        <is>
          <t>Apply the four addressing modes (immediate, direct, indirect, indexed) to determine the value loaded.</t>
        </is>
      </c>
      <c r="C28" s="5" t="inlineStr"/>
      <c r="D28" s="4" t="inlineStr"/>
      <c r="E28" s="4" t="inlineStr"/>
    </row>
    <row r="29">
      <c r="A29" s="4" t="inlineStr"/>
      <c r="B29" s="4" t="inlineStr">
        <is>
          <t>Define the key object-oriented concepts and apply inheritance and polymorphism to a scenario.</t>
        </is>
      </c>
      <c r="C29" s="5" t="inlineStr"/>
      <c r="D29" s="4" t="inlineStr"/>
      <c r="E29" s="4" t="inlineStr"/>
    </row>
    <row r="30">
      <c r="A30" s="2" t="inlineStr">
        <is>
          <t>1.3.1</t>
        </is>
      </c>
      <c r="B30" s="2" t="inlineStr">
        <is>
          <t>Compression, Encryption and Hashing</t>
        </is>
      </c>
      <c r="C30" s="3" t="inlineStr"/>
      <c r="D30" s="2" t="inlineStr"/>
      <c r="E30" s="2" t="inlineStr"/>
    </row>
    <row r="31">
      <c r="A31" s="4" t="inlineStr"/>
      <c r="B31" s="4" t="inlineStr">
        <is>
          <t>Compare lossy and lossless compression and explain how run length encoding (RLE) and dictionary compression reduce file size.</t>
        </is>
      </c>
      <c r="C31" s="5" t="inlineStr"/>
      <c r="D31" s="4" t="inlineStr"/>
      <c r="E31" s="4" t="inlineStr"/>
    </row>
    <row r="32">
      <c r="A32" s="4" t="inlineStr"/>
      <c r="B32" s="4" t="inlineStr">
        <is>
          <t>Distinguish symmetric and asymmetric encryption and explain how asymmetric encryption solves the key-distribution problem.</t>
        </is>
      </c>
      <c r="C32" s="5" t="inlineStr"/>
      <c r="D32" s="4" t="inlineStr"/>
      <c r="E32" s="4" t="inlineStr"/>
    </row>
    <row r="33">
      <c r="A33" s="4" t="inlineStr"/>
      <c r="B33" s="4" t="inlineStr">
        <is>
          <t>Explain what hashing is, its key properties and why hashing (not encryption) is used to store passwords.</t>
        </is>
      </c>
      <c r="C33" s="5" t="inlineStr"/>
      <c r="D33" s="4" t="inlineStr"/>
      <c r="E33" s="4" t="inlineStr"/>
    </row>
    <row r="34">
      <c r="A34" s="2" t="inlineStr">
        <is>
          <t>1.3.2</t>
        </is>
      </c>
      <c r="B34" s="2" t="inlineStr">
        <is>
          <t>Databases</t>
        </is>
      </c>
      <c r="C34" s="3" t="inlineStr"/>
      <c r="D34" s="2" t="inlineStr"/>
      <c r="E34" s="2" t="inlineStr"/>
    </row>
    <row r="35">
      <c r="A35" s="4" t="inlineStr"/>
      <c r="B35" s="4" t="inlineStr">
        <is>
          <t>Compare flat file and relational databases and identify primary, foreign, composite and secondary keys.</t>
        </is>
      </c>
      <c r="C35" s="5" t="inlineStr"/>
      <c r="D35" s="4" t="inlineStr"/>
      <c r="E35" s="4" t="inlineStr"/>
    </row>
    <row r="36">
      <c r="A36" s="4" t="inlineStr"/>
      <c r="B36" s="4" t="inlineStr">
        <is>
          <t>Apply normalisation to 1NF, 2NF and 3NF and explain the dependency removed at each stage.</t>
        </is>
      </c>
      <c r="C36" s="5" t="inlineStr"/>
      <c r="D36" s="4" t="inlineStr"/>
      <c r="E36" s="4" t="inlineStr"/>
    </row>
    <row r="37">
      <c r="A37" s="4" t="inlineStr"/>
      <c r="B37" s="4" t="inlineStr">
        <is>
          <t>Write SQL queries and explain transactions, ACID properties and record locking.</t>
        </is>
      </c>
      <c r="C37" s="5" t="inlineStr"/>
      <c r="D37" s="4" t="inlineStr"/>
      <c r="E37" s="4" t="inlineStr"/>
    </row>
    <row r="38">
      <c r="A38" s="2" t="inlineStr">
        <is>
          <t>1.3.3</t>
        </is>
      </c>
      <c r="B38" s="2" t="inlineStr">
        <is>
          <t>Networks</t>
        </is>
      </c>
      <c r="C38" s="3" t="inlineStr"/>
      <c r="D38" s="2" t="inlineStr"/>
      <c r="E38" s="2" t="inlineStr"/>
    </row>
    <row r="39">
      <c r="A39" s="4" t="inlineStr"/>
      <c r="B39" s="4" t="inlineStr">
        <is>
          <t>Compare LANs and WANs, client-server and peer-to-peer networks, and star and mesh topologies.</t>
        </is>
      </c>
      <c r="C39" s="5" t="inlineStr"/>
      <c r="D39" s="4" t="inlineStr"/>
      <c r="E39" s="4" t="inlineStr"/>
    </row>
    <row r="40">
      <c r="A40" s="4" t="inlineStr"/>
      <c r="B40" s="4" t="inlineStr">
        <is>
          <t>Explain packet vs circuit switching, the role of DNS, and the four layers of the TCP/IP stack.</t>
        </is>
      </c>
      <c r="C40" s="5" t="inlineStr"/>
      <c r="D40" s="4" t="inlineStr"/>
      <c r="E40" s="4" t="inlineStr"/>
    </row>
    <row r="41">
      <c r="A41" s="4" t="inlineStr"/>
      <c r="B41" s="4" t="inlineStr">
        <is>
          <t>Describe the function of network hardware and security measures including switches, routers, firewalls and proxies.</t>
        </is>
      </c>
      <c r="C41" s="5" t="inlineStr"/>
      <c r="D41" s="4" t="inlineStr"/>
      <c r="E41" s="4" t="inlineStr"/>
    </row>
    <row r="42">
      <c r="A42" s="2" t="inlineStr">
        <is>
          <t>1.3.4</t>
        </is>
      </c>
      <c r="B42" s="2" t="inlineStr">
        <is>
          <t>Web Technologies</t>
        </is>
      </c>
      <c r="C42" s="3" t="inlineStr"/>
      <c r="D42" s="2" t="inlineStr"/>
      <c r="E42" s="2" t="inlineStr"/>
    </row>
    <row r="43">
      <c r="A43" s="4" t="inlineStr"/>
      <c r="B43" s="4" t="inlineStr">
        <is>
          <t>Explain the roles of HTML, CSS and JavaScript and how CSS selectors target tags, classes and ids.</t>
        </is>
      </c>
      <c r="C43" s="5" t="inlineStr"/>
      <c r="D43" s="4" t="inlineStr"/>
      <c r="E43" s="4" t="inlineStr"/>
    </row>
    <row r="44">
      <c r="A44" s="4" t="inlineStr"/>
      <c r="B44" s="4" t="inlineStr">
        <is>
          <t>Describe how search engines index pages and how the PageRank algorithm ranks them.</t>
        </is>
      </c>
      <c r="C44" s="5" t="inlineStr"/>
      <c r="D44" s="4" t="inlineStr"/>
      <c r="E44" s="4" t="inlineStr"/>
    </row>
    <row r="45">
      <c r="A45" s="4" t="inlineStr"/>
      <c r="B45" s="4" t="inlineStr">
        <is>
          <t>Compare client-side and server-side processing and justify where each should be used.</t>
        </is>
      </c>
      <c r="C45" s="5" t="inlineStr"/>
      <c r="D45" s="4" t="inlineStr"/>
      <c r="E45" s="4" t="inlineStr"/>
    </row>
    <row r="46">
      <c r="A46" s="2" t="inlineStr">
        <is>
          <t>1.4.1</t>
        </is>
      </c>
      <c r="B46" s="2" t="inlineStr">
        <is>
          <t>Data Types</t>
        </is>
      </c>
      <c r="C46" s="3" t="inlineStr"/>
      <c r="D46" s="2" t="inlineStr"/>
      <c r="E46" s="2" t="inlineStr"/>
    </row>
    <row r="47">
      <c r="A47" s="4" t="inlineStr"/>
      <c r="B47" s="4" t="inlineStr">
        <is>
          <t>Convert confidently between denary, binary and hexadecimal, and represent signed integers using two's complement.</t>
        </is>
      </c>
      <c r="C47" s="5" t="inlineStr"/>
      <c r="D47" s="4" t="inlineStr"/>
      <c r="E47" s="4" t="inlineStr"/>
    </row>
    <row r="48">
      <c r="A48" s="4" t="inlineStr"/>
      <c r="B48" s="4" t="inlineStr">
        <is>
          <t>Apply binary addition, subtraction and logical/arithmetic shifts, identifying overflow and the arithmetic effect of each shift.</t>
        </is>
      </c>
      <c r="C48" s="5" t="inlineStr"/>
      <c r="D48" s="4" t="inlineStr"/>
      <c r="E48" s="4" t="inlineStr"/>
    </row>
    <row r="49">
      <c r="A49" s="4" t="inlineStr"/>
      <c r="B49" s="4" t="inlineStr">
        <is>
          <t>Explain floating-point representation (mantissa and exponent), normalisation, and how character sets such as ASCII and Unicode encode characters.</t>
        </is>
      </c>
      <c r="C49" s="5" t="inlineStr"/>
      <c r="D49" s="4" t="inlineStr"/>
      <c r="E49" s="4" t="inlineStr"/>
    </row>
    <row r="50">
      <c r="A50" s="2" t="inlineStr">
        <is>
          <t>1.4.2</t>
        </is>
      </c>
      <c r="B50" s="2" t="inlineStr">
        <is>
          <t>Data Structures</t>
        </is>
      </c>
      <c r="C50" s="3" t="inlineStr"/>
      <c r="D50" s="2" t="inlineStr"/>
      <c r="E50" s="2" t="inlineStr"/>
    </row>
    <row r="51">
      <c r="A51" s="4" t="inlineStr"/>
      <c r="B51" s="4" t="inlineStr">
        <is>
          <t>Describe and distinguish static and dynamic data structures, including arrays, records, lists, tuples and linked lists.</t>
        </is>
      </c>
      <c r="C51" s="5" t="inlineStr"/>
      <c r="D51" s="4" t="inlineStr"/>
      <c r="E51" s="4" t="inlineStr"/>
    </row>
    <row r="52">
      <c r="A52" s="4" t="inlineStr"/>
      <c r="B52" s="4" t="inlineStr">
        <is>
          <t>Trace operations on stacks and queues, and explain their LIFO/FIFO behaviour and real-world uses.</t>
        </is>
      </c>
      <c r="C52" s="5" t="inlineStr"/>
      <c r="D52" s="4" t="inlineStr"/>
      <c r="E52" s="4" t="inlineStr"/>
    </row>
    <row r="53">
      <c r="A53" s="4" t="inlineStr"/>
      <c r="B53" s="4" t="inlineStr">
        <is>
          <t>Explain how graphs, trees, binary search trees and hash tables store and retrieve data, including traversal order and collisions.</t>
        </is>
      </c>
      <c r="C53" s="5" t="inlineStr"/>
      <c r="D53" s="4" t="inlineStr"/>
      <c r="E53" s="4" t="inlineStr"/>
    </row>
    <row r="54">
      <c r="A54" s="2" t="inlineStr">
        <is>
          <t>1.4.3</t>
        </is>
      </c>
      <c r="B54" s="2" t="inlineStr">
        <is>
          <t>Boolean Algebra</t>
        </is>
      </c>
      <c r="C54" s="3" t="inlineStr"/>
      <c r="D54" s="2" t="inlineStr"/>
      <c r="E54" s="2" t="inlineStr"/>
    </row>
    <row r="55">
      <c r="A55" s="4" t="inlineStr"/>
      <c r="B55" s="4" t="inlineStr">
        <is>
          <t>Construct truth tables for logic gates and combined expressions, including AND, OR, XOR, NAND and NOR.</t>
        </is>
      </c>
      <c r="C55" s="5" t="inlineStr"/>
      <c r="D55" s="4" t="inlineStr"/>
      <c r="E55" s="4" t="inlineStr"/>
    </row>
    <row r="56">
      <c r="A56" s="4" t="inlineStr"/>
      <c r="B56" s="4" t="inlineStr">
        <is>
          <t>Simplify Boolean expressions using identities, De Morgan's laws and Karnaugh maps.</t>
        </is>
      </c>
      <c r="C56" s="5" t="inlineStr"/>
      <c r="D56" s="4" t="inlineStr"/>
      <c r="E56" s="4" t="inlineStr"/>
    </row>
    <row r="57">
      <c r="A57" s="4" t="inlineStr"/>
      <c r="B57" s="4" t="inlineStr">
        <is>
          <t>Describe the operation of half adders, full adders and D-type flip-flops, distinguishing combinational and sequential logic.</t>
        </is>
      </c>
      <c r="C57" s="5" t="inlineStr"/>
      <c r="D57" s="4" t="inlineStr"/>
      <c r="E57" s="4" t="inlineStr"/>
    </row>
    <row r="58">
      <c r="A58" s="2" t="inlineStr">
        <is>
          <t>1.5.1</t>
        </is>
      </c>
      <c r="B58" s="2" t="inlineStr">
        <is>
          <t>Computing Related Legislation</t>
        </is>
      </c>
      <c r="C58" s="3" t="inlineStr"/>
      <c r="D58" s="2" t="inlineStr"/>
      <c r="E58" s="2" t="inlineStr"/>
    </row>
    <row r="59">
      <c r="A59" s="4" t="inlineStr"/>
      <c r="B59" s="4" t="inlineStr">
        <is>
          <t>Identify and describe the four key Acts: the Data Protection Act 1998/2018 (with GDPR), the Computer Misuse Act 1990, the Copyright, Designs &amp; Patents Act 1988 and the Regulation of Investigatory Powers Act 2000.</t>
        </is>
      </c>
      <c r="C59" s="5" t="inlineStr"/>
      <c r="D59" s="4" t="inlineStr"/>
      <c r="E59" s="4" t="inlineStr"/>
    </row>
    <row r="60">
      <c r="A60" s="4" t="inlineStr"/>
      <c r="B60" s="4" t="inlineStr">
        <is>
          <t>Select the correct law (and Computer Misuse Act offence) that applies to a given computing scenario, naming the responsible party.</t>
        </is>
      </c>
      <c r="C60" s="5" t="inlineStr"/>
      <c r="D60" s="4" t="inlineStr"/>
      <c r="E60" s="4" t="inlineStr"/>
    </row>
    <row r="61">
      <c r="A61" s="4" t="inlineStr"/>
      <c r="B61" s="4" t="inlineStr">
        <is>
          <t>Explain why more than one law can apply to a single scenario, distinguishing between the wrongdoing of each party involved.</t>
        </is>
      </c>
      <c r="C61" s="5" t="inlineStr"/>
      <c r="D61" s="4" t="inlineStr"/>
      <c r="E61" s="4" t="inlineStr"/>
    </row>
    <row r="62">
      <c r="A62" s="2" t="inlineStr">
        <is>
          <t>1.5.2</t>
        </is>
      </c>
      <c r="B62" s="2" t="inlineStr">
        <is>
          <t>Moral and Ethical Issues</t>
        </is>
      </c>
      <c r="C62" s="3" t="inlineStr"/>
      <c r="D62" s="2" t="inlineStr"/>
      <c r="E62" s="2" t="inlineStr"/>
    </row>
    <row r="63">
      <c r="A63" s="4" t="inlineStr"/>
      <c r="B63" s="4" t="inlineStr">
        <is>
          <t>Describe the key moral, ethical, cultural and social issues raised by computing, identifying both a benefit and a drawback for each.</t>
        </is>
      </c>
      <c r="C63" s="5" t="inlineStr"/>
      <c r="D63" s="4" t="inlineStr"/>
      <c r="E63" s="4" t="inlineStr"/>
    </row>
    <row r="64">
      <c r="A64" s="4" t="inlineStr"/>
      <c r="B64" s="4" t="inlineStr">
        <is>
          <t>Identify the stakeholders affected by a computing decision and explain how the same fact can benefit one group while harming another.</t>
        </is>
      </c>
      <c r="C64" s="5" t="inlineStr"/>
      <c r="D64" s="4" t="inlineStr"/>
      <c r="E64" s="4" t="inlineStr"/>
    </row>
    <row r="65">
      <c r="A65" s="4" t="inlineStr"/>
      <c r="B65" s="4" t="inlineStr">
        <is>
          <t>Structure a balanced levels-of-response 'discuss' answer that weighs both sides and reaches a justified conclusion.</t>
        </is>
      </c>
      <c r="C65" s="5" t="inlineStr"/>
      <c r="D65" s="4" t="inlineStr"/>
      <c r="E65" s="4" t="inlineStr"/>
    </row>
    <row r="66">
      <c r="A66" s="2" t="inlineStr">
        <is>
          <t>2.1.1</t>
        </is>
      </c>
      <c r="B66" s="2" t="inlineStr">
        <is>
          <t>Thinking Abstractly</t>
        </is>
      </c>
      <c r="C66" s="3" t="inlineStr"/>
      <c r="D66" s="2" t="inlineStr"/>
      <c r="E66" s="2" t="inlineStr"/>
    </row>
    <row r="67">
      <c r="A67" s="4" t="inlineStr"/>
      <c r="B67" s="4" t="inlineStr">
        <is>
          <t>Define abstraction as removing or hiding detail irrelevant to a problem, leaving only what is needed to solve it.</t>
        </is>
      </c>
      <c r="C67" s="5" t="inlineStr"/>
      <c r="D67" s="4" t="inlineStr"/>
      <c r="E67" s="4" t="inlineStr"/>
    </row>
    <row r="68">
      <c r="A68" s="4" t="inlineStr"/>
      <c r="B68" s="4" t="inlineStr">
        <is>
          <t>Distinguish representational abstraction from generalisation/categorisation, and abstraction from decomposition.</t>
        </is>
      </c>
      <c r="C68" s="5" t="inlineStr"/>
      <c r="D68" s="4" t="inlineStr"/>
      <c r="E68" s="4" t="inlineStr"/>
    </row>
    <row r="69">
      <c r="A69" s="4" t="inlineStr"/>
      <c r="B69" s="4" t="inlineStr">
        <is>
          <t>Apply abstraction to an unseen scenario by justifying which real-world details are kept and which are discarded.</t>
        </is>
      </c>
      <c r="C69" s="5" t="inlineStr"/>
      <c r="D69" s="4" t="inlineStr"/>
      <c r="E69" s="4" t="inlineStr"/>
    </row>
    <row r="70">
      <c r="A70" s="2" t="inlineStr">
        <is>
          <t>2.1.2</t>
        </is>
      </c>
      <c r="B70" s="2" t="inlineStr">
        <is>
          <t>Thinking Ahead</t>
        </is>
      </c>
      <c r="C70" s="3" t="inlineStr"/>
      <c r="D70" s="2" t="inlineStr"/>
      <c r="E70" s="2" t="inlineStr"/>
    </row>
    <row r="71">
      <c r="A71" s="4" t="inlineStr"/>
      <c r="B71" s="4" t="inlineStr">
        <is>
          <t>Identify the inputs and outputs of a routine, distinguishing them from internal processes.</t>
        </is>
      </c>
      <c r="C71" s="5" t="inlineStr"/>
      <c r="D71" s="4" t="inlineStr"/>
      <c r="E71" s="4" t="inlineStr"/>
    </row>
    <row r="72">
      <c r="A72" s="4" t="inlineStr"/>
      <c r="B72" s="4" t="inlineStr">
        <is>
          <t>Explain preconditions, caching and reusable components, including the benefits and trade-offs of caching.</t>
        </is>
      </c>
      <c r="C72" s="5" t="inlineStr"/>
      <c r="D72" s="4" t="inlineStr"/>
      <c r="E72" s="4" t="inlineStr"/>
    </row>
    <row r="73">
      <c r="A73" s="4" t="inlineStr"/>
      <c r="B73" s="4" t="inlineStr">
        <is>
          <t>Apply thinking ahead to plan an unseen routine before coding it.</t>
        </is>
      </c>
      <c r="C73" s="5" t="inlineStr"/>
      <c r="D73" s="4" t="inlineStr"/>
      <c r="E73" s="4" t="inlineStr"/>
    </row>
    <row r="74">
      <c r="A74" s="2" t="inlineStr">
        <is>
          <t>2.1.3</t>
        </is>
      </c>
      <c r="B74" s="2" t="inlineStr">
        <is>
          <t>Thinking Procedurally</t>
        </is>
      </c>
      <c r="C74" s="3" t="inlineStr"/>
      <c r="D74" s="2" t="inlineStr"/>
      <c r="E74" s="2" t="inlineStr"/>
    </row>
    <row r="75">
      <c r="A75" s="4" t="inlineStr"/>
      <c r="B75" s="4" t="inlineStr">
        <is>
          <t>Decompose a problem into named sub-procedures, each performing one task.</t>
        </is>
      </c>
      <c r="C75" s="5" t="inlineStr"/>
      <c r="D75" s="4" t="inlineStr"/>
      <c r="E75" s="4" t="inlineStr"/>
    </row>
    <row r="76">
      <c r="A76" s="4" t="inlineStr"/>
      <c r="B76" s="4" t="inlineStr">
        <is>
          <t>Determine the fixed order of steps by identifying data dependencies between them.</t>
        </is>
      </c>
      <c r="C76" s="5" t="inlineStr"/>
      <c r="D76" s="4" t="inlineStr"/>
      <c r="E76" s="4" t="inlineStr"/>
    </row>
    <row r="77">
      <c r="A77" s="4" t="inlineStr"/>
      <c r="B77" s="4" t="inlineStr">
        <is>
          <t>Apply procedural thinking to sequence an unseen scenario and justify why the order is fixed.</t>
        </is>
      </c>
      <c r="C77" s="5" t="inlineStr"/>
      <c r="D77" s="4" t="inlineStr"/>
      <c r="E77" s="4" t="inlineStr"/>
    </row>
    <row r="78">
      <c r="A78" s="2" t="inlineStr">
        <is>
          <t>2.1.4</t>
        </is>
      </c>
      <c r="B78" s="2" t="inlineStr">
        <is>
          <t>Thinking Logically</t>
        </is>
      </c>
      <c r="C78" s="3" t="inlineStr"/>
      <c r="D78" s="2" t="inlineStr"/>
      <c r="E78" s="2" t="inlineStr"/>
    </row>
    <row r="79">
      <c r="A79" s="4" t="inlineStr"/>
      <c r="B79" s="4" t="inlineStr">
        <is>
          <t>Identify decision points where the flow of control branches on a condition.</t>
        </is>
      </c>
      <c r="C79" s="5" t="inlineStr"/>
      <c r="D79" s="4" t="inlineStr"/>
      <c r="E79" s="4" t="inlineStr"/>
    </row>
    <row r="80">
      <c r="A80" s="4" t="inlineStr"/>
      <c r="B80" s="4" t="inlineStr">
        <is>
          <t>Write exact Boolean conditions, including the correct comparison operator and logical operators.</t>
        </is>
      </c>
      <c r="C80" s="5" t="inlineStr"/>
      <c r="D80" s="4" t="inlineStr"/>
      <c r="E80" s="4" t="inlineStr"/>
    </row>
    <row r="81">
      <c r="A81" s="4" t="inlineStr"/>
      <c r="B81" s="4" t="inlineStr">
        <is>
          <t>Apply logical thinking to an unseen scenario, stating the outcome of both branches of each decision.</t>
        </is>
      </c>
      <c r="C81" s="5" t="inlineStr"/>
      <c r="D81" s="4" t="inlineStr"/>
      <c r="E81" s="4" t="inlineStr"/>
    </row>
    <row r="82">
      <c r="A82" s="2" t="inlineStr">
        <is>
          <t>2.1.5</t>
        </is>
      </c>
      <c r="B82" s="2" t="inlineStr">
        <is>
          <t>Thinking Concurrently</t>
        </is>
      </c>
      <c r="C82" s="3" t="inlineStr"/>
      <c r="D82" s="2" t="inlineStr"/>
      <c r="E82" s="2" t="inlineStr"/>
    </row>
    <row r="83">
      <c r="A83" s="4" t="inlineStr"/>
      <c r="B83" s="4" t="inlineStr">
        <is>
          <t>Identify tasks that can run concurrently because they have no data dependency.</t>
        </is>
      </c>
      <c r="C83" s="5" t="inlineStr"/>
      <c r="D83" s="4" t="inlineStr"/>
      <c r="E83" s="4" t="inlineStr"/>
    </row>
    <row r="84">
      <c r="A84" s="4" t="inlineStr"/>
      <c r="B84" s="4" t="inlineStr">
        <is>
          <t>Explain the benefits and trade-offs of concurrency, including race conditions and deadlock.</t>
        </is>
      </c>
      <c r="C84" s="5" t="inlineStr"/>
      <c r="D84" s="4" t="inlineStr"/>
      <c r="E84" s="4" t="inlineStr"/>
    </row>
    <row r="85">
      <c r="A85" s="4" t="inlineStr"/>
      <c r="B85" s="4" t="inlineStr">
        <is>
          <t>Apply concurrent thinking to an unseen scenario, weighing one benefit against one trade-off.</t>
        </is>
      </c>
      <c r="C85" s="5" t="inlineStr"/>
      <c r="D85" s="4" t="inlineStr"/>
      <c r="E85" s="4" t="inlineStr"/>
    </row>
    <row r="86">
      <c r="A86" s="2" t="inlineStr">
        <is>
          <t>2.2.1</t>
        </is>
      </c>
      <c r="B86" s="2" t="inlineStr">
        <is>
          <t>Programming Techniques</t>
        </is>
      </c>
      <c r="C86" s="3" t="inlineStr"/>
      <c r="D86" s="2" t="inlineStr"/>
      <c r="E86" s="2" t="inlineStr"/>
    </row>
    <row r="87">
      <c r="A87" s="4" t="inlineStr"/>
      <c r="B87" s="4" t="inlineStr">
        <is>
          <t>Describe and distinguish the programming constructs (sequence, selection, count- and condition-controlled iteration), recursion, scope, modularity and OOP</t>
        </is>
      </c>
      <c r="C87" s="5" t="inlineStr"/>
      <c r="D87" s="4" t="inlineStr"/>
      <c r="E87" s="4" t="inlineStr"/>
    </row>
    <row r="88">
      <c r="A88" s="4" t="inlineStr"/>
      <c r="B88" s="4" t="inlineStr">
        <is>
          <t>Explain how recursion uses a base case and a call stack of frames, and contrast it with iteration</t>
        </is>
      </c>
      <c r="C88" s="5" t="inlineStr"/>
      <c r="D88" s="4" t="inlineStr"/>
      <c r="E88" s="4" t="inlineStr"/>
    </row>
    <row r="89">
      <c r="A89" s="4" t="inlineStr"/>
      <c r="B89" s="4" t="inlineStr">
        <is>
          <t>Apply scope rules, parameter passing (by value vs by reference) and OOP concepts (encapsulation, inheritance, polymorphism) when reading and writing OCR pseudocode</t>
        </is>
      </c>
      <c r="C89" s="5" t="inlineStr"/>
      <c r="D89" s="4" t="inlineStr"/>
      <c r="E89" s="4" t="inlineStr"/>
    </row>
    <row r="90">
      <c r="A90" s="2" t="inlineStr">
        <is>
          <t>2.2.2</t>
        </is>
      </c>
      <c r="B90" s="2" t="inlineStr">
        <is>
          <t>Computational Methods</t>
        </is>
      </c>
      <c r="C90" s="3" t="inlineStr"/>
      <c r="D90" s="2" t="inlineStr"/>
      <c r="E90" s="2" t="inlineStr"/>
    </row>
    <row r="91">
      <c r="A91" s="4" t="inlineStr"/>
      <c r="B91" s="4" t="inlineStr">
        <is>
          <t>State the features that make a problem solvable computationally and recognise non-computable and intractable problems</t>
        </is>
      </c>
      <c r="C91" s="5" t="inlineStr"/>
      <c r="D91" s="4" t="inlineStr"/>
      <c r="E91" s="4" t="inlineStr"/>
    </row>
    <row r="92">
      <c r="A92" s="4" t="inlineStr"/>
      <c r="B92" s="4" t="inlineStr">
        <is>
          <t>Describe problem recognition, decomposition, divide and conquer, and abstraction (representational and by generalisation)</t>
        </is>
      </c>
      <c r="C92" s="5" t="inlineStr"/>
      <c r="D92" s="4" t="inlineStr"/>
      <c r="E92" s="4" t="inlineStr"/>
    </row>
    <row r="93">
      <c r="A93" s="4" t="inlineStr"/>
      <c r="B93" s="4" t="inlineStr">
        <is>
          <t>Apply named computational methods (backtracking, data mining, heuristics, performance modelling, pipelining, visualisation) to suitable problems, justifying why each fits</t>
        </is>
      </c>
      <c r="C93" s="5" t="inlineStr"/>
      <c r="D93" s="4" t="inlineStr"/>
      <c r="E93" s="4" t="inlineStr"/>
    </row>
    <row r="94">
      <c r="A94" s="2" t="inlineStr">
        <is>
          <t>2.3.1</t>
        </is>
      </c>
      <c r="B94" s="2" t="inlineStr">
        <is>
          <t>Algorithms</t>
        </is>
      </c>
      <c r="C94" s="3" t="inlineStr"/>
      <c r="D94" s="2" t="inlineStr"/>
      <c r="E94" s="2" t="inlineStr"/>
    </row>
    <row r="95">
      <c r="A95" s="4" t="inlineStr"/>
      <c r="B95" s="4" t="inlineStr">
        <is>
          <t>Use Big O notation to express and justify the time and space complexity of an algorithm, simplifying expressions to the dominant term.</t>
        </is>
      </c>
      <c r="C95" s="5" t="inlineStr"/>
      <c r="D95" s="4" t="inlineStr"/>
      <c r="E95" s="4" t="inlineStr"/>
    </row>
    <row r="96">
      <c r="A96" s="4" t="inlineStr"/>
      <c r="B96" s="4" t="inlineStr">
        <is>
          <t>Compare standard searching and sorting algorithms by how they work and their best, average and worst-case complexities.</t>
        </is>
      </c>
      <c r="C96" s="5" t="inlineStr"/>
      <c r="D96" s="4" t="inlineStr"/>
      <c r="E96" s="4" t="inlineStr"/>
    </row>
    <row r="97">
      <c r="A97" s="4" t="inlineStr"/>
      <c r="B97" s="4" t="inlineStr">
        <is>
          <t>Describe and trace algorithms on data structures, including tree traversals and the shortest-path algorithms Dijkstra and A*.</t>
        </is>
      </c>
      <c r="C97" s="5" t="inlineStr"/>
      <c r="D97" s="4" t="inlineStr"/>
      <c r="E97" s="4" t="inlineStr"/>
    </row>
    <row r="99">
      <c r="B99" s="6" t="inlineStr">
        <is>
          <t>🔴 Not yet (R):</t>
        </is>
      </c>
      <c r="C99">
        <f>COUNTIF(C2:C97,"R")</f>
        <v/>
      </c>
    </row>
    <row r="100">
      <c r="B100" s="6" t="inlineStr">
        <is>
          <t>🟠 Getting there (A):</t>
        </is>
      </c>
      <c r="C100">
        <f>COUNTIF(C2:C97,"A")</f>
        <v/>
      </c>
    </row>
    <row r="101">
      <c r="B101" s="6" t="inlineStr">
        <is>
          <t>🟢 Confident (G):</t>
        </is>
      </c>
      <c r="C101">
        <f>COUNTIF(C2:C97,"G")</f>
        <v/>
      </c>
    </row>
    <row r="102">
      <c r="B102" s="7" t="inlineStr">
        <is>
          <t>Total objectives:</t>
        </is>
      </c>
      <c r="C102" t="n">
        <v>72</v>
      </c>
    </row>
  </sheetData>
  <conditionalFormatting sqref="C3">
    <cfRule type="cellIs" priority="1" operator="equal" dxfId="0">
      <formula>"R"</formula>
    </cfRule>
    <cfRule type="cellIs" priority="2" operator="equal" dxfId="1">
      <formula>"A"</formula>
    </cfRule>
    <cfRule type="cellIs" priority="3" operator="equal" dxfId="2">
      <formula>"G"</formula>
    </cfRule>
  </conditionalFormatting>
  <conditionalFormatting sqref="C4">
    <cfRule type="cellIs" priority="4" operator="equal" dxfId="0">
      <formula>"R"</formula>
    </cfRule>
    <cfRule type="cellIs" priority="5" operator="equal" dxfId="1">
      <formula>"A"</formula>
    </cfRule>
    <cfRule type="cellIs" priority="6" operator="equal" dxfId="2">
      <formula>"G"</formula>
    </cfRule>
  </conditionalFormatting>
  <conditionalFormatting sqref="C5">
    <cfRule type="cellIs" priority="7" operator="equal" dxfId="0">
      <formula>"R"</formula>
    </cfRule>
    <cfRule type="cellIs" priority="8" operator="equal" dxfId="1">
      <formula>"A"</formula>
    </cfRule>
    <cfRule type="cellIs" priority="9" operator="equal" dxfId="2">
      <formula>"G"</formula>
    </cfRule>
  </conditionalFormatting>
  <conditionalFormatting sqref="C7">
    <cfRule type="cellIs" priority="10" operator="equal" dxfId="0">
      <formula>"R"</formula>
    </cfRule>
    <cfRule type="cellIs" priority="11" operator="equal" dxfId="1">
      <formula>"A"</formula>
    </cfRule>
    <cfRule type="cellIs" priority="12" operator="equal" dxfId="2">
      <formula>"G"</formula>
    </cfRule>
  </conditionalFormatting>
  <conditionalFormatting sqref="C8">
    <cfRule type="cellIs" priority="13" operator="equal" dxfId="0">
      <formula>"R"</formula>
    </cfRule>
    <cfRule type="cellIs" priority="14" operator="equal" dxfId="1">
      <formula>"A"</formula>
    </cfRule>
    <cfRule type="cellIs" priority="15" operator="equal" dxfId="2">
      <formula>"G"</formula>
    </cfRule>
  </conditionalFormatting>
  <conditionalFormatting sqref="C9">
    <cfRule type="cellIs" priority="16" operator="equal" dxfId="0">
      <formula>"R"</formula>
    </cfRule>
    <cfRule type="cellIs" priority="17" operator="equal" dxfId="1">
      <formula>"A"</formula>
    </cfRule>
    <cfRule type="cellIs" priority="18" operator="equal" dxfId="2">
      <formula>"G"</formula>
    </cfRule>
  </conditionalFormatting>
  <conditionalFormatting sqref="C11">
    <cfRule type="cellIs" priority="19" operator="equal" dxfId="0">
      <formula>"R"</formula>
    </cfRule>
    <cfRule type="cellIs" priority="20" operator="equal" dxfId="1">
      <formula>"A"</formula>
    </cfRule>
    <cfRule type="cellIs" priority="21" operator="equal" dxfId="2">
      <formula>"G"</formula>
    </cfRule>
  </conditionalFormatting>
  <conditionalFormatting sqref="C12">
    <cfRule type="cellIs" priority="22" operator="equal" dxfId="0">
      <formula>"R"</formula>
    </cfRule>
    <cfRule type="cellIs" priority="23" operator="equal" dxfId="1">
      <formula>"A"</formula>
    </cfRule>
    <cfRule type="cellIs" priority="24" operator="equal" dxfId="2">
      <formula>"G"</formula>
    </cfRule>
  </conditionalFormatting>
  <conditionalFormatting sqref="C13">
    <cfRule type="cellIs" priority="25" operator="equal" dxfId="0">
      <formula>"R"</formula>
    </cfRule>
    <cfRule type="cellIs" priority="26" operator="equal" dxfId="1">
      <formula>"A"</formula>
    </cfRule>
    <cfRule type="cellIs" priority="27" operator="equal" dxfId="2">
      <formula>"G"</formula>
    </cfRule>
  </conditionalFormatting>
  <conditionalFormatting sqref="C15">
    <cfRule type="cellIs" priority="28" operator="equal" dxfId="0">
      <formula>"R"</formula>
    </cfRule>
    <cfRule type="cellIs" priority="29" operator="equal" dxfId="1">
      <formula>"A"</formula>
    </cfRule>
    <cfRule type="cellIs" priority="30" operator="equal" dxfId="2">
      <formula>"G"</formula>
    </cfRule>
  </conditionalFormatting>
  <conditionalFormatting sqref="C16">
    <cfRule type="cellIs" priority="31" operator="equal" dxfId="0">
      <formula>"R"</formula>
    </cfRule>
    <cfRule type="cellIs" priority="32" operator="equal" dxfId="1">
      <formula>"A"</formula>
    </cfRule>
    <cfRule type="cellIs" priority="33" operator="equal" dxfId="2">
      <formula>"G"</formula>
    </cfRule>
  </conditionalFormatting>
  <conditionalFormatting sqref="C17">
    <cfRule type="cellIs" priority="34" operator="equal" dxfId="0">
      <formula>"R"</formula>
    </cfRule>
    <cfRule type="cellIs" priority="35" operator="equal" dxfId="1">
      <formula>"A"</formula>
    </cfRule>
    <cfRule type="cellIs" priority="36" operator="equal" dxfId="2">
      <formula>"G"</formula>
    </cfRule>
  </conditionalFormatting>
  <conditionalFormatting sqref="C19">
    <cfRule type="cellIs" priority="37" operator="equal" dxfId="0">
      <formula>"R"</formula>
    </cfRule>
    <cfRule type="cellIs" priority="38" operator="equal" dxfId="1">
      <formula>"A"</formula>
    </cfRule>
    <cfRule type="cellIs" priority="39" operator="equal" dxfId="2">
      <formula>"G"</formula>
    </cfRule>
  </conditionalFormatting>
  <conditionalFormatting sqref="C20">
    <cfRule type="cellIs" priority="40" operator="equal" dxfId="0">
      <formula>"R"</formula>
    </cfRule>
    <cfRule type="cellIs" priority="41" operator="equal" dxfId="1">
      <formula>"A"</formula>
    </cfRule>
    <cfRule type="cellIs" priority="42" operator="equal" dxfId="2">
      <formula>"G"</formula>
    </cfRule>
  </conditionalFormatting>
  <conditionalFormatting sqref="C21">
    <cfRule type="cellIs" priority="43" operator="equal" dxfId="0">
      <formula>"R"</formula>
    </cfRule>
    <cfRule type="cellIs" priority="44" operator="equal" dxfId="1">
      <formula>"A"</formula>
    </cfRule>
    <cfRule type="cellIs" priority="45" operator="equal" dxfId="2">
      <formula>"G"</formula>
    </cfRule>
  </conditionalFormatting>
  <conditionalFormatting sqref="C23">
    <cfRule type="cellIs" priority="46" operator="equal" dxfId="0">
      <formula>"R"</formula>
    </cfRule>
    <cfRule type="cellIs" priority="47" operator="equal" dxfId="1">
      <formula>"A"</formula>
    </cfRule>
    <cfRule type="cellIs" priority="48" operator="equal" dxfId="2">
      <formula>"G"</formula>
    </cfRule>
  </conditionalFormatting>
  <conditionalFormatting sqref="C24">
    <cfRule type="cellIs" priority="49" operator="equal" dxfId="0">
      <formula>"R"</formula>
    </cfRule>
    <cfRule type="cellIs" priority="50" operator="equal" dxfId="1">
      <formula>"A"</formula>
    </cfRule>
    <cfRule type="cellIs" priority="51" operator="equal" dxfId="2">
      <formula>"G"</formula>
    </cfRule>
  </conditionalFormatting>
  <conditionalFormatting sqref="C25">
    <cfRule type="cellIs" priority="52" operator="equal" dxfId="0">
      <formula>"R"</formula>
    </cfRule>
    <cfRule type="cellIs" priority="53" operator="equal" dxfId="1">
      <formula>"A"</formula>
    </cfRule>
    <cfRule type="cellIs" priority="54" operator="equal" dxfId="2">
      <formula>"G"</formula>
    </cfRule>
  </conditionalFormatting>
  <conditionalFormatting sqref="C27">
    <cfRule type="cellIs" priority="55" operator="equal" dxfId="0">
      <formula>"R"</formula>
    </cfRule>
    <cfRule type="cellIs" priority="56" operator="equal" dxfId="1">
      <formula>"A"</formula>
    </cfRule>
    <cfRule type="cellIs" priority="57" operator="equal" dxfId="2">
      <formula>"G"</formula>
    </cfRule>
  </conditionalFormatting>
  <conditionalFormatting sqref="C28">
    <cfRule type="cellIs" priority="58" operator="equal" dxfId="0">
      <formula>"R"</formula>
    </cfRule>
    <cfRule type="cellIs" priority="59" operator="equal" dxfId="1">
      <formula>"A"</formula>
    </cfRule>
    <cfRule type="cellIs" priority="60" operator="equal" dxfId="2">
      <formula>"G"</formula>
    </cfRule>
  </conditionalFormatting>
  <conditionalFormatting sqref="C29">
    <cfRule type="cellIs" priority="61" operator="equal" dxfId="0">
      <formula>"R"</formula>
    </cfRule>
    <cfRule type="cellIs" priority="62" operator="equal" dxfId="1">
      <formula>"A"</formula>
    </cfRule>
    <cfRule type="cellIs" priority="63" operator="equal" dxfId="2">
      <formula>"G"</formula>
    </cfRule>
  </conditionalFormatting>
  <conditionalFormatting sqref="C31">
    <cfRule type="cellIs" priority="64" operator="equal" dxfId="0">
      <formula>"R"</formula>
    </cfRule>
    <cfRule type="cellIs" priority="65" operator="equal" dxfId="1">
      <formula>"A"</formula>
    </cfRule>
    <cfRule type="cellIs" priority="66" operator="equal" dxfId="2">
      <formula>"G"</formula>
    </cfRule>
  </conditionalFormatting>
  <conditionalFormatting sqref="C32">
    <cfRule type="cellIs" priority="67" operator="equal" dxfId="0">
      <formula>"R"</formula>
    </cfRule>
    <cfRule type="cellIs" priority="68" operator="equal" dxfId="1">
      <formula>"A"</formula>
    </cfRule>
    <cfRule type="cellIs" priority="69" operator="equal" dxfId="2">
      <formula>"G"</formula>
    </cfRule>
  </conditionalFormatting>
  <conditionalFormatting sqref="C33">
    <cfRule type="cellIs" priority="70" operator="equal" dxfId="0">
      <formula>"R"</formula>
    </cfRule>
    <cfRule type="cellIs" priority="71" operator="equal" dxfId="1">
      <formula>"A"</formula>
    </cfRule>
    <cfRule type="cellIs" priority="72" operator="equal" dxfId="2">
      <formula>"G"</formula>
    </cfRule>
  </conditionalFormatting>
  <conditionalFormatting sqref="C35">
    <cfRule type="cellIs" priority="73" operator="equal" dxfId="0">
      <formula>"R"</formula>
    </cfRule>
    <cfRule type="cellIs" priority="74" operator="equal" dxfId="1">
      <formula>"A"</formula>
    </cfRule>
    <cfRule type="cellIs" priority="75" operator="equal" dxfId="2">
      <formula>"G"</formula>
    </cfRule>
  </conditionalFormatting>
  <conditionalFormatting sqref="C36">
    <cfRule type="cellIs" priority="76" operator="equal" dxfId="0">
      <formula>"R"</formula>
    </cfRule>
    <cfRule type="cellIs" priority="77" operator="equal" dxfId="1">
      <formula>"A"</formula>
    </cfRule>
    <cfRule type="cellIs" priority="78" operator="equal" dxfId="2">
      <formula>"G"</formula>
    </cfRule>
  </conditionalFormatting>
  <conditionalFormatting sqref="C37">
    <cfRule type="cellIs" priority="79" operator="equal" dxfId="0">
      <formula>"R"</formula>
    </cfRule>
    <cfRule type="cellIs" priority="80" operator="equal" dxfId="1">
      <formula>"A"</formula>
    </cfRule>
    <cfRule type="cellIs" priority="81" operator="equal" dxfId="2">
      <formula>"G"</formula>
    </cfRule>
  </conditionalFormatting>
  <conditionalFormatting sqref="C39">
    <cfRule type="cellIs" priority="82" operator="equal" dxfId="0">
      <formula>"R"</formula>
    </cfRule>
    <cfRule type="cellIs" priority="83" operator="equal" dxfId="1">
      <formula>"A"</formula>
    </cfRule>
    <cfRule type="cellIs" priority="84" operator="equal" dxfId="2">
      <formula>"G"</formula>
    </cfRule>
  </conditionalFormatting>
  <conditionalFormatting sqref="C40">
    <cfRule type="cellIs" priority="85" operator="equal" dxfId="0">
      <formula>"R"</formula>
    </cfRule>
    <cfRule type="cellIs" priority="86" operator="equal" dxfId="1">
      <formula>"A"</formula>
    </cfRule>
    <cfRule type="cellIs" priority="87" operator="equal" dxfId="2">
      <formula>"G"</formula>
    </cfRule>
  </conditionalFormatting>
  <conditionalFormatting sqref="C41">
    <cfRule type="cellIs" priority="88" operator="equal" dxfId="0">
      <formula>"R"</formula>
    </cfRule>
    <cfRule type="cellIs" priority="89" operator="equal" dxfId="1">
      <formula>"A"</formula>
    </cfRule>
    <cfRule type="cellIs" priority="90" operator="equal" dxfId="2">
      <formula>"G"</formula>
    </cfRule>
  </conditionalFormatting>
  <conditionalFormatting sqref="C43">
    <cfRule type="cellIs" priority="91" operator="equal" dxfId="0">
      <formula>"R"</formula>
    </cfRule>
    <cfRule type="cellIs" priority="92" operator="equal" dxfId="1">
      <formula>"A"</formula>
    </cfRule>
    <cfRule type="cellIs" priority="93" operator="equal" dxfId="2">
      <formula>"G"</formula>
    </cfRule>
  </conditionalFormatting>
  <conditionalFormatting sqref="C44">
    <cfRule type="cellIs" priority="94" operator="equal" dxfId="0">
      <formula>"R"</formula>
    </cfRule>
    <cfRule type="cellIs" priority="95" operator="equal" dxfId="1">
      <formula>"A"</formula>
    </cfRule>
    <cfRule type="cellIs" priority="96" operator="equal" dxfId="2">
      <formula>"G"</formula>
    </cfRule>
  </conditionalFormatting>
  <conditionalFormatting sqref="C45">
    <cfRule type="cellIs" priority="97" operator="equal" dxfId="0">
      <formula>"R"</formula>
    </cfRule>
    <cfRule type="cellIs" priority="98" operator="equal" dxfId="1">
      <formula>"A"</formula>
    </cfRule>
    <cfRule type="cellIs" priority="99" operator="equal" dxfId="2">
      <formula>"G"</formula>
    </cfRule>
  </conditionalFormatting>
  <conditionalFormatting sqref="C47">
    <cfRule type="cellIs" priority="100" operator="equal" dxfId="0">
      <formula>"R"</formula>
    </cfRule>
    <cfRule type="cellIs" priority="101" operator="equal" dxfId="1">
      <formula>"A"</formula>
    </cfRule>
    <cfRule type="cellIs" priority="102" operator="equal" dxfId="2">
      <formula>"G"</formula>
    </cfRule>
  </conditionalFormatting>
  <conditionalFormatting sqref="C48">
    <cfRule type="cellIs" priority="103" operator="equal" dxfId="0">
      <formula>"R"</formula>
    </cfRule>
    <cfRule type="cellIs" priority="104" operator="equal" dxfId="1">
      <formula>"A"</formula>
    </cfRule>
    <cfRule type="cellIs" priority="105" operator="equal" dxfId="2">
      <formula>"G"</formula>
    </cfRule>
  </conditionalFormatting>
  <conditionalFormatting sqref="C49">
    <cfRule type="cellIs" priority="106" operator="equal" dxfId="0">
      <formula>"R"</formula>
    </cfRule>
    <cfRule type="cellIs" priority="107" operator="equal" dxfId="1">
      <formula>"A"</formula>
    </cfRule>
    <cfRule type="cellIs" priority="108" operator="equal" dxfId="2">
      <formula>"G"</formula>
    </cfRule>
  </conditionalFormatting>
  <conditionalFormatting sqref="C51">
    <cfRule type="cellIs" priority="109" operator="equal" dxfId="0">
      <formula>"R"</formula>
    </cfRule>
    <cfRule type="cellIs" priority="110" operator="equal" dxfId="1">
      <formula>"A"</formula>
    </cfRule>
    <cfRule type="cellIs" priority="111" operator="equal" dxfId="2">
      <formula>"G"</formula>
    </cfRule>
  </conditionalFormatting>
  <conditionalFormatting sqref="C52">
    <cfRule type="cellIs" priority="112" operator="equal" dxfId="0">
      <formula>"R"</formula>
    </cfRule>
    <cfRule type="cellIs" priority="113" operator="equal" dxfId="1">
      <formula>"A"</formula>
    </cfRule>
    <cfRule type="cellIs" priority="114" operator="equal" dxfId="2">
      <formula>"G"</formula>
    </cfRule>
  </conditionalFormatting>
  <conditionalFormatting sqref="C53">
    <cfRule type="cellIs" priority="115" operator="equal" dxfId="0">
      <formula>"R"</formula>
    </cfRule>
    <cfRule type="cellIs" priority="116" operator="equal" dxfId="1">
      <formula>"A"</formula>
    </cfRule>
    <cfRule type="cellIs" priority="117" operator="equal" dxfId="2">
      <formula>"G"</formula>
    </cfRule>
  </conditionalFormatting>
  <conditionalFormatting sqref="C55">
    <cfRule type="cellIs" priority="118" operator="equal" dxfId="0">
      <formula>"R"</formula>
    </cfRule>
    <cfRule type="cellIs" priority="119" operator="equal" dxfId="1">
      <formula>"A"</formula>
    </cfRule>
    <cfRule type="cellIs" priority="120" operator="equal" dxfId="2">
      <formula>"G"</formula>
    </cfRule>
  </conditionalFormatting>
  <conditionalFormatting sqref="C56">
    <cfRule type="cellIs" priority="121" operator="equal" dxfId="0">
      <formula>"R"</formula>
    </cfRule>
    <cfRule type="cellIs" priority="122" operator="equal" dxfId="1">
      <formula>"A"</formula>
    </cfRule>
    <cfRule type="cellIs" priority="123" operator="equal" dxfId="2">
      <formula>"G"</formula>
    </cfRule>
  </conditionalFormatting>
  <conditionalFormatting sqref="C57">
    <cfRule type="cellIs" priority="124" operator="equal" dxfId="0">
      <formula>"R"</formula>
    </cfRule>
    <cfRule type="cellIs" priority="125" operator="equal" dxfId="1">
      <formula>"A"</formula>
    </cfRule>
    <cfRule type="cellIs" priority="126" operator="equal" dxfId="2">
      <formula>"G"</formula>
    </cfRule>
  </conditionalFormatting>
  <conditionalFormatting sqref="C59">
    <cfRule type="cellIs" priority="127" operator="equal" dxfId="0">
      <formula>"R"</formula>
    </cfRule>
    <cfRule type="cellIs" priority="128" operator="equal" dxfId="1">
      <formula>"A"</formula>
    </cfRule>
    <cfRule type="cellIs" priority="129" operator="equal" dxfId="2">
      <formula>"G"</formula>
    </cfRule>
  </conditionalFormatting>
  <conditionalFormatting sqref="C60">
    <cfRule type="cellIs" priority="130" operator="equal" dxfId="0">
      <formula>"R"</formula>
    </cfRule>
    <cfRule type="cellIs" priority="131" operator="equal" dxfId="1">
      <formula>"A"</formula>
    </cfRule>
    <cfRule type="cellIs" priority="132" operator="equal" dxfId="2">
      <formula>"G"</formula>
    </cfRule>
  </conditionalFormatting>
  <conditionalFormatting sqref="C61">
    <cfRule type="cellIs" priority="133" operator="equal" dxfId="0">
      <formula>"R"</formula>
    </cfRule>
    <cfRule type="cellIs" priority="134" operator="equal" dxfId="1">
      <formula>"A"</formula>
    </cfRule>
    <cfRule type="cellIs" priority="135" operator="equal" dxfId="2">
      <formula>"G"</formula>
    </cfRule>
  </conditionalFormatting>
  <conditionalFormatting sqref="C63">
    <cfRule type="cellIs" priority="136" operator="equal" dxfId="0">
      <formula>"R"</formula>
    </cfRule>
    <cfRule type="cellIs" priority="137" operator="equal" dxfId="1">
      <formula>"A"</formula>
    </cfRule>
    <cfRule type="cellIs" priority="138" operator="equal" dxfId="2">
      <formula>"G"</formula>
    </cfRule>
  </conditionalFormatting>
  <conditionalFormatting sqref="C64">
    <cfRule type="cellIs" priority="139" operator="equal" dxfId="0">
      <formula>"R"</formula>
    </cfRule>
    <cfRule type="cellIs" priority="140" operator="equal" dxfId="1">
      <formula>"A"</formula>
    </cfRule>
    <cfRule type="cellIs" priority="141" operator="equal" dxfId="2">
      <formula>"G"</formula>
    </cfRule>
  </conditionalFormatting>
  <conditionalFormatting sqref="C65">
    <cfRule type="cellIs" priority="142" operator="equal" dxfId="0">
      <formula>"R"</formula>
    </cfRule>
    <cfRule type="cellIs" priority="143" operator="equal" dxfId="1">
      <formula>"A"</formula>
    </cfRule>
    <cfRule type="cellIs" priority="144" operator="equal" dxfId="2">
      <formula>"G"</formula>
    </cfRule>
  </conditionalFormatting>
  <conditionalFormatting sqref="C67">
    <cfRule type="cellIs" priority="145" operator="equal" dxfId="0">
      <formula>"R"</formula>
    </cfRule>
    <cfRule type="cellIs" priority="146" operator="equal" dxfId="1">
      <formula>"A"</formula>
    </cfRule>
    <cfRule type="cellIs" priority="147" operator="equal" dxfId="2">
      <formula>"G"</formula>
    </cfRule>
  </conditionalFormatting>
  <conditionalFormatting sqref="C68">
    <cfRule type="cellIs" priority="148" operator="equal" dxfId="0">
      <formula>"R"</formula>
    </cfRule>
    <cfRule type="cellIs" priority="149" operator="equal" dxfId="1">
      <formula>"A"</formula>
    </cfRule>
    <cfRule type="cellIs" priority="150" operator="equal" dxfId="2">
      <formula>"G"</formula>
    </cfRule>
  </conditionalFormatting>
  <conditionalFormatting sqref="C69">
    <cfRule type="cellIs" priority="151" operator="equal" dxfId="0">
      <formula>"R"</formula>
    </cfRule>
    <cfRule type="cellIs" priority="152" operator="equal" dxfId="1">
      <formula>"A"</formula>
    </cfRule>
    <cfRule type="cellIs" priority="153" operator="equal" dxfId="2">
      <formula>"G"</formula>
    </cfRule>
  </conditionalFormatting>
  <conditionalFormatting sqref="C71">
    <cfRule type="cellIs" priority="154" operator="equal" dxfId="0">
      <formula>"R"</formula>
    </cfRule>
    <cfRule type="cellIs" priority="155" operator="equal" dxfId="1">
      <formula>"A"</formula>
    </cfRule>
    <cfRule type="cellIs" priority="156" operator="equal" dxfId="2">
      <formula>"G"</formula>
    </cfRule>
  </conditionalFormatting>
  <conditionalFormatting sqref="C72">
    <cfRule type="cellIs" priority="157" operator="equal" dxfId="0">
      <formula>"R"</formula>
    </cfRule>
    <cfRule type="cellIs" priority="158" operator="equal" dxfId="1">
      <formula>"A"</formula>
    </cfRule>
    <cfRule type="cellIs" priority="159" operator="equal" dxfId="2">
      <formula>"G"</formula>
    </cfRule>
  </conditionalFormatting>
  <conditionalFormatting sqref="C73">
    <cfRule type="cellIs" priority="160" operator="equal" dxfId="0">
      <formula>"R"</formula>
    </cfRule>
    <cfRule type="cellIs" priority="161" operator="equal" dxfId="1">
      <formula>"A"</formula>
    </cfRule>
    <cfRule type="cellIs" priority="162" operator="equal" dxfId="2">
      <formula>"G"</formula>
    </cfRule>
  </conditionalFormatting>
  <conditionalFormatting sqref="C75">
    <cfRule type="cellIs" priority="163" operator="equal" dxfId="0">
      <formula>"R"</formula>
    </cfRule>
    <cfRule type="cellIs" priority="164" operator="equal" dxfId="1">
      <formula>"A"</formula>
    </cfRule>
    <cfRule type="cellIs" priority="165" operator="equal" dxfId="2">
      <formula>"G"</formula>
    </cfRule>
  </conditionalFormatting>
  <conditionalFormatting sqref="C76">
    <cfRule type="cellIs" priority="166" operator="equal" dxfId="0">
      <formula>"R"</formula>
    </cfRule>
    <cfRule type="cellIs" priority="167" operator="equal" dxfId="1">
      <formula>"A"</formula>
    </cfRule>
    <cfRule type="cellIs" priority="168" operator="equal" dxfId="2">
      <formula>"G"</formula>
    </cfRule>
  </conditionalFormatting>
  <conditionalFormatting sqref="C77">
    <cfRule type="cellIs" priority="169" operator="equal" dxfId="0">
      <formula>"R"</formula>
    </cfRule>
    <cfRule type="cellIs" priority="170" operator="equal" dxfId="1">
      <formula>"A"</formula>
    </cfRule>
    <cfRule type="cellIs" priority="171" operator="equal" dxfId="2">
      <formula>"G"</formula>
    </cfRule>
  </conditionalFormatting>
  <conditionalFormatting sqref="C79">
    <cfRule type="cellIs" priority="172" operator="equal" dxfId="0">
      <formula>"R"</formula>
    </cfRule>
    <cfRule type="cellIs" priority="173" operator="equal" dxfId="1">
      <formula>"A"</formula>
    </cfRule>
    <cfRule type="cellIs" priority="174" operator="equal" dxfId="2">
      <formula>"G"</formula>
    </cfRule>
  </conditionalFormatting>
  <conditionalFormatting sqref="C80">
    <cfRule type="cellIs" priority="175" operator="equal" dxfId="0">
      <formula>"R"</formula>
    </cfRule>
    <cfRule type="cellIs" priority="176" operator="equal" dxfId="1">
      <formula>"A"</formula>
    </cfRule>
    <cfRule type="cellIs" priority="177" operator="equal" dxfId="2">
      <formula>"G"</formula>
    </cfRule>
  </conditionalFormatting>
  <conditionalFormatting sqref="C81">
    <cfRule type="cellIs" priority="178" operator="equal" dxfId="0">
      <formula>"R"</formula>
    </cfRule>
    <cfRule type="cellIs" priority="179" operator="equal" dxfId="1">
      <formula>"A"</formula>
    </cfRule>
    <cfRule type="cellIs" priority="180" operator="equal" dxfId="2">
      <formula>"G"</formula>
    </cfRule>
  </conditionalFormatting>
  <conditionalFormatting sqref="C83">
    <cfRule type="cellIs" priority="181" operator="equal" dxfId="0">
      <formula>"R"</formula>
    </cfRule>
    <cfRule type="cellIs" priority="182" operator="equal" dxfId="1">
      <formula>"A"</formula>
    </cfRule>
    <cfRule type="cellIs" priority="183" operator="equal" dxfId="2">
      <formula>"G"</formula>
    </cfRule>
  </conditionalFormatting>
  <conditionalFormatting sqref="C84">
    <cfRule type="cellIs" priority="184" operator="equal" dxfId="0">
      <formula>"R"</formula>
    </cfRule>
    <cfRule type="cellIs" priority="185" operator="equal" dxfId="1">
      <formula>"A"</formula>
    </cfRule>
    <cfRule type="cellIs" priority="186" operator="equal" dxfId="2">
      <formula>"G"</formula>
    </cfRule>
  </conditionalFormatting>
  <conditionalFormatting sqref="C85">
    <cfRule type="cellIs" priority="187" operator="equal" dxfId="0">
      <formula>"R"</formula>
    </cfRule>
    <cfRule type="cellIs" priority="188" operator="equal" dxfId="1">
      <formula>"A"</formula>
    </cfRule>
    <cfRule type="cellIs" priority="189" operator="equal" dxfId="2">
      <formula>"G"</formula>
    </cfRule>
  </conditionalFormatting>
  <conditionalFormatting sqref="C87">
    <cfRule type="cellIs" priority="190" operator="equal" dxfId="0">
      <formula>"R"</formula>
    </cfRule>
    <cfRule type="cellIs" priority="191" operator="equal" dxfId="1">
      <formula>"A"</formula>
    </cfRule>
    <cfRule type="cellIs" priority="192" operator="equal" dxfId="2">
      <formula>"G"</formula>
    </cfRule>
  </conditionalFormatting>
  <conditionalFormatting sqref="C88">
    <cfRule type="cellIs" priority="193" operator="equal" dxfId="0">
      <formula>"R"</formula>
    </cfRule>
    <cfRule type="cellIs" priority="194" operator="equal" dxfId="1">
      <formula>"A"</formula>
    </cfRule>
    <cfRule type="cellIs" priority="195" operator="equal" dxfId="2">
      <formula>"G"</formula>
    </cfRule>
  </conditionalFormatting>
  <conditionalFormatting sqref="C89">
    <cfRule type="cellIs" priority="196" operator="equal" dxfId="0">
      <formula>"R"</formula>
    </cfRule>
    <cfRule type="cellIs" priority="197" operator="equal" dxfId="1">
      <formula>"A"</formula>
    </cfRule>
    <cfRule type="cellIs" priority="198" operator="equal" dxfId="2">
      <formula>"G"</formula>
    </cfRule>
  </conditionalFormatting>
  <conditionalFormatting sqref="C91">
    <cfRule type="cellIs" priority="199" operator="equal" dxfId="0">
      <formula>"R"</formula>
    </cfRule>
    <cfRule type="cellIs" priority="200" operator="equal" dxfId="1">
      <formula>"A"</formula>
    </cfRule>
    <cfRule type="cellIs" priority="201" operator="equal" dxfId="2">
      <formula>"G"</formula>
    </cfRule>
  </conditionalFormatting>
  <conditionalFormatting sqref="C92">
    <cfRule type="cellIs" priority="202" operator="equal" dxfId="0">
      <formula>"R"</formula>
    </cfRule>
    <cfRule type="cellIs" priority="203" operator="equal" dxfId="1">
      <formula>"A"</formula>
    </cfRule>
    <cfRule type="cellIs" priority="204" operator="equal" dxfId="2">
      <formula>"G"</formula>
    </cfRule>
  </conditionalFormatting>
  <conditionalFormatting sqref="C93">
    <cfRule type="cellIs" priority="205" operator="equal" dxfId="0">
      <formula>"R"</formula>
    </cfRule>
    <cfRule type="cellIs" priority="206" operator="equal" dxfId="1">
      <formula>"A"</formula>
    </cfRule>
    <cfRule type="cellIs" priority="207" operator="equal" dxfId="2">
      <formula>"G"</formula>
    </cfRule>
  </conditionalFormatting>
  <conditionalFormatting sqref="C95">
    <cfRule type="cellIs" priority="208" operator="equal" dxfId="0">
      <formula>"R"</formula>
    </cfRule>
    <cfRule type="cellIs" priority="209" operator="equal" dxfId="1">
      <formula>"A"</formula>
    </cfRule>
    <cfRule type="cellIs" priority="210" operator="equal" dxfId="2">
      <formula>"G"</formula>
    </cfRule>
  </conditionalFormatting>
  <conditionalFormatting sqref="C96">
    <cfRule type="cellIs" priority="211" operator="equal" dxfId="0">
      <formula>"R"</formula>
    </cfRule>
    <cfRule type="cellIs" priority="212" operator="equal" dxfId="1">
      <formula>"A"</formula>
    </cfRule>
    <cfRule type="cellIs" priority="213" operator="equal" dxfId="2">
      <formula>"G"</formula>
    </cfRule>
  </conditionalFormatting>
  <conditionalFormatting sqref="C97">
    <cfRule type="cellIs" priority="214" operator="equal" dxfId="0">
      <formula>"R"</formula>
    </cfRule>
    <cfRule type="cellIs" priority="215" operator="equal" dxfId="1">
      <formula>"A"</formula>
    </cfRule>
    <cfRule type="cellIs" priority="216" operator="equal" dxfId="2">
      <formula>"G"</formula>
    </cfRule>
  </conditionalFormatting>
  <dataValidations count="1">
    <dataValidation sqref="C3 C4 C5 C7 C8 C9 C11 C12 C13 C15 C16 C17 C19 C20 C21 C23 C24 C25 C27 C28 C29 C31 C32 C33 C35 C36 C37 C39 C40 C41 C43 C44 C45 C47 C48 C49 C51 C52 C53 C55 C56 C57 C59 C60 C61 C63 C64 C65 C67 C68 C69 C71 C72 C73 C75 C76 C77 C79 C80 C81 C83 C84 C85 C87 C88 C89 C91 C92 C93 C95 C96 C97" showDropDown="0" showInputMessage="0" showErrorMessage="0" allowBlank="1" prompt="R = not yet, A = getting there, G = confident" type="list">
      <formula1>"R,A,G"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2026-07-02T14:29:13Z</dcterms:created>
  <dcterms:modified xmlns:dcterms="http://purl.org/dc/terms/" xmlns:xsi="http://www.w3.org/2001/XMLSchema-instance" xsi:type="dcterms:W3CDTF">2026-07-02T14:29:13Z</dcterms:modified>
</cp:coreProperties>
</file>