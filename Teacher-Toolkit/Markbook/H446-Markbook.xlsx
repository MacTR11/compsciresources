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book" sheetId="1" state="visible" r:id="rId1"/>
    <sheet xmlns:r="http://schemas.openxmlformats.org/officeDocument/2006/relationships" name="Grade Bounda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i val="1"/>
    </font>
    <font>
      <b val="1"/>
    </font>
    <font>
      <i val="1"/>
      <color rgb="00666666"/>
    </font>
  </fonts>
  <fills count="4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9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9" fontId="0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" fillId="2" borderId="0" pivotButton="0" quotePrefix="0" xfId="0"/>
    <xf numFmtId="9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7">
    <dxf>
      <fill>
        <patternFill patternType="solid">
          <fgColor rgb="00C6EFCE"/>
        </patternFill>
      </fill>
    </dxf>
    <dxf>
      <fill>
        <patternFill patternType="solid">
          <fgColor rgb="00D9EAD3"/>
        </patternFill>
      </fill>
    </dxf>
    <dxf>
      <fill>
        <patternFill patternType="solid">
          <fgColor rgb="00E2EFDA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5CD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F4C7C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9" customWidth="1" min="15" max="15"/>
    <col width="9" customWidth="1" min="16" max="16"/>
  </cols>
  <sheetData>
    <row r="1">
      <c r="A1" s="1" t="inlineStr">
        <is>
          <t>Student</t>
        </is>
      </c>
      <c r="B1" s="1" t="inlineStr">
        <is>
          <t>KA1</t>
        </is>
      </c>
      <c r="C1" s="1" t="inlineStr">
        <is>
          <t>KA2</t>
        </is>
      </c>
      <c r="D1" s="1" t="inlineStr">
        <is>
          <t>KA3</t>
        </is>
      </c>
      <c r="E1" s="1" t="inlineStr">
        <is>
          <t>KA4</t>
        </is>
      </c>
      <c r="F1" s="1" t="inlineStr">
        <is>
          <t>KA5</t>
        </is>
      </c>
      <c r="G1" s="1" t="inlineStr">
        <is>
          <t>KA6</t>
        </is>
      </c>
      <c r="H1" s="1" t="inlineStr">
        <is>
          <t>KA7</t>
        </is>
      </c>
      <c r="I1" s="1" t="inlineStr">
        <is>
          <t>KA8</t>
        </is>
      </c>
      <c r="J1" s="1" t="inlineStr">
        <is>
          <t>CAP1</t>
        </is>
      </c>
      <c r="K1" s="1" t="inlineStr">
        <is>
          <t>CAP2</t>
        </is>
      </c>
      <c r="L1" s="1" t="inlineStr">
        <is>
          <t>CAP3</t>
        </is>
      </c>
      <c r="M1" s="1" t="inlineStr">
        <is>
          <t>CAP4</t>
        </is>
      </c>
      <c r="N1" s="1" t="inlineStr">
        <is>
          <t>CAP5</t>
        </is>
      </c>
      <c r="O1" s="1" t="inlineStr">
        <is>
          <t>Avg %</t>
        </is>
      </c>
      <c r="P1" s="1" t="inlineStr">
        <is>
          <t>Grade</t>
        </is>
      </c>
    </row>
    <row r="2">
      <c r="A2" s="2" t="inlineStr">
        <is>
          <t>Max mark →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4" t="n"/>
      <c r="P2" s="4" t="n"/>
    </row>
    <row r="3">
      <c r="A3" s="5" t="inlineStr">
        <is>
          <t>Student 1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6">
        <f>IFERROR(SUM(B3:N3)/SUMPRODUCT((B3:N3&lt;&gt;"")*$B$2:$N$2),"")</f>
        <v/>
      </c>
      <c r="P3" s="4">
        <f>IFERROR(VLOOKUP(O3,'Grade Boundaries'!$A$2:$B$8,2,TRUE),"")</f>
        <v/>
      </c>
    </row>
    <row r="4">
      <c r="A4" s="5" t="inlineStr">
        <is>
          <t>Student 2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6">
        <f>IFERROR(SUM(B4:N4)/SUMPRODUCT((B4:N4&lt;&gt;"")*$B$2:$N$2),"")</f>
        <v/>
      </c>
      <c r="P4" s="4">
        <f>IFERROR(VLOOKUP(O4,'Grade Boundaries'!$A$2:$B$8,2,TRUE),"")</f>
        <v/>
      </c>
    </row>
    <row r="5">
      <c r="A5" s="5" t="inlineStr">
        <is>
          <t>Student 3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6">
        <f>IFERROR(SUM(B5:N5)/SUMPRODUCT((B5:N5&lt;&gt;"")*$B$2:$N$2),"")</f>
        <v/>
      </c>
      <c r="P5" s="4">
        <f>IFERROR(VLOOKUP(O5,'Grade Boundaries'!$A$2:$B$8,2,TRUE),"")</f>
        <v/>
      </c>
    </row>
    <row r="6">
      <c r="A6" s="5" t="inlineStr">
        <is>
          <t>Student 4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6">
        <f>IFERROR(SUM(B6:N6)/SUMPRODUCT((B6:N6&lt;&gt;"")*$B$2:$N$2),"")</f>
        <v/>
      </c>
      <c r="P6" s="4">
        <f>IFERROR(VLOOKUP(O6,'Grade Boundaries'!$A$2:$B$8,2,TRUE),"")</f>
        <v/>
      </c>
    </row>
    <row r="7">
      <c r="A7" s="5" t="inlineStr">
        <is>
          <t>Student 5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6">
        <f>IFERROR(SUM(B7:N7)/SUMPRODUCT((B7:N7&lt;&gt;"")*$B$2:$N$2),"")</f>
        <v/>
      </c>
      <c r="P7" s="4">
        <f>IFERROR(VLOOKUP(O7,'Grade Boundaries'!$A$2:$B$8,2,TRUE),"")</f>
        <v/>
      </c>
    </row>
    <row r="8">
      <c r="A8" s="5" t="inlineStr">
        <is>
          <t>Student 6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6">
        <f>IFERROR(SUM(B8:N8)/SUMPRODUCT((B8:N8&lt;&gt;"")*$B$2:$N$2),"")</f>
        <v/>
      </c>
      <c r="P8" s="4">
        <f>IFERROR(VLOOKUP(O8,'Grade Boundaries'!$A$2:$B$8,2,TRUE),"")</f>
        <v/>
      </c>
    </row>
    <row r="9">
      <c r="A9" s="5" t="inlineStr">
        <is>
          <t>Student 7</t>
        </is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6">
        <f>IFERROR(SUM(B9:N9)/SUMPRODUCT((B9:N9&lt;&gt;"")*$B$2:$N$2),"")</f>
        <v/>
      </c>
      <c r="P9" s="4">
        <f>IFERROR(VLOOKUP(O9,'Grade Boundaries'!$A$2:$B$8,2,TRUE),"")</f>
        <v/>
      </c>
    </row>
    <row r="10">
      <c r="A10" s="5" t="inlineStr">
        <is>
          <t>Student 8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6">
        <f>IFERROR(SUM(B10:N10)/SUMPRODUCT((B10:N10&lt;&gt;"")*$B$2:$N$2),"")</f>
        <v/>
      </c>
      <c r="P10" s="4">
        <f>IFERROR(VLOOKUP(O10,'Grade Boundaries'!$A$2:$B$8,2,TRUE),"")</f>
        <v/>
      </c>
    </row>
    <row r="11">
      <c r="A11" s="5" t="inlineStr">
        <is>
          <t>Student 9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6">
        <f>IFERROR(SUM(B11:N11)/SUMPRODUCT((B11:N11&lt;&gt;"")*$B$2:$N$2),"")</f>
        <v/>
      </c>
      <c r="P11" s="4">
        <f>IFERROR(VLOOKUP(O11,'Grade Boundaries'!$A$2:$B$8,2,TRUE),"")</f>
        <v/>
      </c>
    </row>
    <row r="12">
      <c r="A12" s="5" t="inlineStr">
        <is>
          <t>Student 10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6">
        <f>IFERROR(SUM(B12:N12)/SUMPRODUCT((B12:N12&lt;&gt;"")*$B$2:$N$2),"")</f>
        <v/>
      </c>
      <c r="P12" s="4">
        <f>IFERROR(VLOOKUP(O12,'Grade Boundaries'!$A$2:$B$8,2,TRUE),"")</f>
        <v/>
      </c>
    </row>
    <row r="13">
      <c r="A13" s="5" t="inlineStr">
        <is>
          <t>Student 11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6">
        <f>IFERROR(SUM(B13:N13)/SUMPRODUCT((B13:N13&lt;&gt;"")*$B$2:$N$2),"")</f>
        <v/>
      </c>
      <c r="P13" s="4">
        <f>IFERROR(VLOOKUP(O13,'Grade Boundaries'!$A$2:$B$8,2,TRUE),"")</f>
        <v/>
      </c>
    </row>
    <row r="14">
      <c r="A14" s="5" t="inlineStr">
        <is>
          <t>Student 12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6">
        <f>IFERROR(SUM(B14:N14)/SUMPRODUCT((B14:N14&lt;&gt;"")*$B$2:$N$2),"")</f>
        <v/>
      </c>
      <c r="P14" s="4">
        <f>IFERROR(VLOOKUP(O14,'Grade Boundaries'!$A$2:$B$8,2,TRUE),"")</f>
        <v/>
      </c>
    </row>
    <row r="15">
      <c r="A15" s="5" t="inlineStr">
        <is>
          <t>Student 13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6">
        <f>IFERROR(SUM(B15:N15)/SUMPRODUCT((B15:N15&lt;&gt;"")*$B$2:$N$2),"")</f>
        <v/>
      </c>
      <c r="P15" s="4">
        <f>IFERROR(VLOOKUP(O15,'Grade Boundaries'!$A$2:$B$8,2,TRUE),"")</f>
        <v/>
      </c>
    </row>
    <row r="16">
      <c r="A16" s="5" t="inlineStr">
        <is>
          <t>Student 14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6">
        <f>IFERROR(SUM(B16:N16)/SUMPRODUCT((B16:N16&lt;&gt;"")*$B$2:$N$2),"")</f>
        <v/>
      </c>
      <c r="P16" s="4">
        <f>IFERROR(VLOOKUP(O16,'Grade Boundaries'!$A$2:$B$8,2,TRUE),"")</f>
        <v/>
      </c>
    </row>
    <row r="17">
      <c r="A17" s="5" t="inlineStr">
        <is>
          <t>Student 15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6">
        <f>IFERROR(SUM(B17:N17)/SUMPRODUCT((B17:N17&lt;&gt;"")*$B$2:$N$2),"")</f>
        <v/>
      </c>
      <c r="P17" s="4">
        <f>IFERROR(VLOOKUP(O17,'Grade Boundaries'!$A$2:$B$8,2,TRUE),"")</f>
        <v/>
      </c>
    </row>
    <row r="18">
      <c r="A18" s="5" t="inlineStr">
        <is>
          <t>Student 16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6">
        <f>IFERROR(SUM(B18:N18)/SUMPRODUCT((B18:N18&lt;&gt;"")*$B$2:$N$2),"")</f>
        <v/>
      </c>
      <c r="P18" s="4">
        <f>IFERROR(VLOOKUP(O18,'Grade Boundaries'!$A$2:$B$8,2,TRUE),"")</f>
        <v/>
      </c>
    </row>
    <row r="19">
      <c r="A19" s="5" t="inlineStr">
        <is>
          <t>Student 17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6">
        <f>IFERROR(SUM(B19:N19)/SUMPRODUCT((B19:N19&lt;&gt;"")*$B$2:$N$2),"")</f>
        <v/>
      </c>
      <c r="P19" s="4">
        <f>IFERROR(VLOOKUP(O19,'Grade Boundaries'!$A$2:$B$8,2,TRUE),"")</f>
        <v/>
      </c>
    </row>
    <row r="20">
      <c r="A20" s="5" t="inlineStr">
        <is>
          <t>Student 18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6">
        <f>IFERROR(SUM(B20:N20)/SUMPRODUCT((B20:N20&lt;&gt;"")*$B$2:$N$2),"")</f>
        <v/>
      </c>
      <c r="P20" s="4">
        <f>IFERROR(VLOOKUP(O20,'Grade Boundaries'!$A$2:$B$8,2,TRUE),"")</f>
        <v/>
      </c>
    </row>
    <row r="21">
      <c r="A21" s="5" t="inlineStr">
        <is>
          <t>Student 19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6">
        <f>IFERROR(SUM(B21:N21)/SUMPRODUCT((B21:N21&lt;&gt;"")*$B$2:$N$2),"")</f>
        <v/>
      </c>
      <c r="P21" s="4">
        <f>IFERROR(VLOOKUP(O21,'Grade Boundaries'!$A$2:$B$8,2,TRUE),"")</f>
        <v/>
      </c>
    </row>
    <row r="22">
      <c r="A22" s="5" t="inlineStr">
        <is>
          <t>Student 20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6">
        <f>IFERROR(SUM(B22:N22)/SUMPRODUCT((B22:N22&lt;&gt;"")*$B$2:$N$2),"")</f>
        <v/>
      </c>
      <c r="P22" s="4">
        <f>IFERROR(VLOOKUP(O22,'Grade Boundaries'!$A$2:$B$8,2,TRUE),"")</f>
        <v/>
      </c>
    </row>
    <row r="23">
      <c r="A23" s="5" t="inlineStr">
        <is>
          <t>Student 21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6">
        <f>IFERROR(SUM(B23:N23)/SUMPRODUCT((B23:N23&lt;&gt;"")*$B$2:$N$2),"")</f>
        <v/>
      </c>
      <c r="P23" s="4">
        <f>IFERROR(VLOOKUP(O23,'Grade Boundaries'!$A$2:$B$8,2,TRUE),"")</f>
        <v/>
      </c>
    </row>
    <row r="24">
      <c r="A24" s="5" t="inlineStr">
        <is>
          <t>Student 22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6">
        <f>IFERROR(SUM(B24:N24)/SUMPRODUCT((B24:N24&lt;&gt;"")*$B$2:$N$2),"")</f>
        <v/>
      </c>
      <c r="P24" s="4">
        <f>IFERROR(VLOOKUP(O24,'Grade Boundaries'!$A$2:$B$8,2,TRUE),"")</f>
        <v/>
      </c>
    </row>
    <row r="25">
      <c r="A25" s="5" t="inlineStr">
        <is>
          <t>Student 23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6">
        <f>IFERROR(SUM(B25:N25)/SUMPRODUCT((B25:N25&lt;&gt;"")*$B$2:$N$2),"")</f>
        <v/>
      </c>
      <c r="P25" s="4">
        <f>IFERROR(VLOOKUP(O25,'Grade Boundaries'!$A$2:$B$8,2,TRUE),"")</f>
        <v/>
      </c>
    </row>
    <row r="26">
      <c r="A26" s="5" t="inlineStr">
        <is>
          <t>Student 24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6">
        <f>IFERROR(SUM(B26:N26)/SUMPRODUCT((B26:N26&lt;&gt;"")*$B$2:$N$2),"")</f>
        <v/>
      </c>
      <c r="P26" s="4">
        <f>IFERROR(VLOOKUP(O26,'Grade Boundaries'!$A$2:$B$8,2,TRUE),"")</f>
        <v/>
      </c>
    </row>
    <row r="28">
      <c r="A28" s="7" t="inlineStr">
        <is>
          <t>CLASS AVERAGE %</t>
        </is>
      </c>
      <c r="B28" s="8">
        <f>IFERROR(AVERAGE(B3:B26)/B2,"")</f>
        <v/>
      </c>
      <c r="C28" s="8">
        <f>IFERROR(AVERAGE(C3:C26)/C2,"")</f>
        <v/>
      </c>
      <c r="D28" s="8">
        <f>IFERROR(AVERAGE(D3:D26)/D2,"")</f>
        <v/>
      </c>
      <c r="E28" s="8">
        <f>IFERROR(AVERAGE(E3:E26)/E2,"")</f>
        <v/>
      </c>
      <c r="F28" s="8">
        <f>IFERROR(AVERAGE(F3:F26)/F2,"")</f>
        <v/>
      </c>
      <c r="G28" s="8">
        <f>IFERROR(AVERAGE(G3:G26)/G2,"")</f>
        <v/>
      </c>
      <c r="H28" s="8">
        <f>IFERROR(AVERAGE(H3:H26)/H2,"")</f>
        <v/>
      </c>
      <c r="I28" s="8">
        <f>IFERROR(AVERAGE(I3:I26)/I2,"")</f>
        <v/>
      </c>
      <c r="J28" s="8">
        <f>IFERROR(AVERAGE(J3:J26)/J2,"")</f>
        <v/>
      </c>
      <c r="K28" s="8">
        <f>IFERROR(AVERAGE(K3:K26)/K2,"")</f>
        <v/>
      </c>
      <c r="L28" s="8">
        <f>IFERROR(AVERAGE(L3:L26)/L2,"")</f>
        <v/>
      </c>
      <c r="M28" s="8">
        <f>IFERROR(AVERAGE(M3:M26)/M2,"")</f>
        <v/>
      </c>
      <c r="N28" s="8">
        <f>IFERROR(AVERAGE(N3:N26)/N2,"")</f>
        <v/>
      </c>
      <c r="O28" s="8">
        <f>IFERROR(AVERAGE(O3:O26),"")</f>
        <v/>
      </c>
    </row>
    <row r="30">
      <c r="A30" s="9" t="inlineStr">
        <is>
          <t>How to use: enter each assessment's MAX MARK in the yellow row 2, then type each student's raw mark.</t>
        </is>
      </c>
    </row>
    <row r="31">
      <c r="A31" s="9" t="inlineStr">
        <is>
          <t>Avg % = total marks gained / total marks available across attempted assessments. Grade auto-looks-up the boundaries.</t>
        </is>
      </c>
    </row>
    <row r="32">
      <c r="A32" s="9" t="inlineStr">
        <is>
          <t>Edit grade boundaries on the 'Grade Boundaries' tab. Replace 'Student N' with real names. Add rows for more students.</t>
        </is>
      </c>
    </row>
    <row r="33">
      <c r="A33" s="9" t="inlineStr">
        <is>
          <t>KA = Key Assessment (formative), CAP = attainment checkpoint — both from the scheme of work.</t>
        </is>
      </c>
    </row>
  </sheetData>
  <conditionalFormatting sqref="O3:O26">
    <cfRule type="colorScale" priority="1">
      <colorScale>
        <cfvo type="num" val="0"/>
        <cfvo type="num" val="0.6"/>
        <cfvo type="num" val="1"/>
        <color rgb="00F4C7C3"/>
        <color rgb="00FFEB9C"/>
        <color rgb="00C6EFCE"/>
      </colorScale>
    </cfRule>
  </conditionalFormatting>
  <conditionalFormatting sqref="P3:P26">
    <cfRule type="cellIs" priority="2" operator="equal" dxfId="0">
      <formula>"A*"</formula>
    </cfRule>
    <cfRule type="cellIs" priority="3" operator="equal" dxfId="1">
      <formula>"A"</formula>
    </cfRule>
    <cfRule type="cellIs" priority="4" operator="equal" dxfId="2">
      <formula>"B"</formula>
    </cfRule>
    <cfRule type="cellIs" priority="5" operator="equal" dxfId="3">
      <formula>"C"</formula>
    </cfRule>
    <cfRule type="cellIs" priority="6" operator="equal" dxfId="4">
      <formula>"D"</formula>
    </cfRule>
    <cfRule type="cellIs" priority="7" operator="equal" dxfId="5">
      <formula>"E"</formula>
    </cfRule>
    <cfRule type="cellIs" priority="8" operator="equal" dxfId="6">
      <formula>"U"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0" t="inlineStr">
        <is>
          <t>Min %</t>
        </is>
      </c>
      <c r="B1" s="10" t="inlineStr">
        <is>
          <t>Grade</t>
        </is>
      </c>
    </row>
    <row r="2">
      <c r="A2" s="11" t="n">
        <v>0</v>
      </c>
      <c r="B2" s="12" t="inlineStr">
        <is>
          <t>U</t>
        </is>
      </c>
      <c r="D2" s="9" t="inlineStr">
        <is>
          <t>Edit the Min % thresholds to match the grade boundaries you use.</t>
        </is>
      </c>
    </row>
    <row r="3">
      <c r="A3" s="11" t="n">
        <v>0.4</v>
      </c>
      <c r="B3" s="12" t="inlineStr">
        <is>
          <t>E</t>
        </is>
      </c>
    </row>
    <row r="4">
      <c r="A4" s="11" t="n">
        <v>0.5</v>
      </c>
      <c r="B4" s="12" t="inlineStr">
        <is>
          <t>D</t>
        </is>
      </c>
    </row>
    <row r="5">
      <c r="A5" s="11" t="n">
        <v>0.6</v>
      </c>
      <c r="B5" s="12" t="inlineStr">
        <is>
          <t>C</t>
        </is>
      </c>
    </row>
    <row r="6">
      <c r="A6" s="11" t="n">
        <v>0.7</v>
      </c>
      <c r="B6" s="12" t="inlineStr">
        <is>
          <t>B</t>
        </is>
      </c>
    </row>
    <row r="7">
      <c r="A7" s="11" t="n">
        <v>0.8</v>
      </c>
      <c r="B7" s="12" t="inlineStr">
        <is>
          <t>A</t>
        </is>
      </c>
    </row>
    <row r="8">
      <c r="A8" s="11" t="n">
        <v>0.9</v>
      </c>
      <c r="B8" s="12" t="inlineStr">
        <is>
          <t>A*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2026-06-28T14:51:18Z</dcterms:created>
  <dcterms:modified xmlns:dcterms="http://purl.org/dc/terms/" xmlns:xsi="http://www.w3.org/2001/XMLSchema-instance" xsi:type="dcterms:W3CDTF">2026-06-28T14:51:18Z</dcterms:modified>
</cp:coreProperties>
</file>